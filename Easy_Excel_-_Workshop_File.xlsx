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425"/>
  <workbookPr defaultThemeVersion="124226"/>
  <mc:AlternateContent xmlns:mc="http://schemas.openxmlformats.org/markup-compatibility/2006">
    <mc:Choice Requires="x15">
      <x15ac:absPath xmlns:x15ac="http://schemas.microsoft.com/office/spreadsheetml/2010/11/ac" url="https://dalu-my.sharepoint.com/personal/jl540955_dal_ca/Documents/Presentations/Excel/Excel_Forever_Folder/Easy Excel/"/>
    </mc:Choice>
  </mc:AlternateContent>
  <xr:revisionPtr revIDLastSave="160" documentId="13_ncr:1_{D2BE2E75-797C-4900-B917-6E579C08B4F9}" xr6:coauthVersionLast="47" xr6:coauthVersionMax="47" xr10:uidLastSave="{BAA8016F-0652-4977-95F1-63C0CA42B893}"/>
  <bookViews>
    <workbookView xWindow="28680" yWindow="-5115" windowWidth="19440" windowHeight="10320" activeTab="4" xr2:uid="{00000000-000D-0000-FFFF-FFFF00000000}"/>
  </bookViews>
  <sheets>
    <sheet name="About" sheetId="10" r:id="rId1"/>
    <sheet name="Useful Features" sheetId="3" r:id="rId2"/>
    <sheet name="Bonus Formulas" sheetId="7" state="hidden" r:id="rId3"/>
    <sheet name="Instructions" sheetId="4" r:id="rId4"/>
    <sheet name="Exercise" sheetId="5" r:id="rId5"/>
    <sheet name="Example Result" sheetId="6" r:id="rId6"/>
  </sheets>
  <definedNames>
    <definedName name="_xlnm._FilterDatabase" localSheetId="5" hidden="1">'Example Result'!$B$2:$L$44</definedName>
    <definedName name="_xlnm._FilterDatabase" localSheetId="4" hidden="1">Exercise!$A$1:$K$43</definedName>
    <definedName name="Advanced_Tweaks">#REF!</definedName>
    <definedName name="Ajouter_une_bordure_à_une_cellule">'Useful Features'!$B$168</definedName>
    <definedName name="Aligner_le_texte_d_une_cellule_verticalement_ou_horizontalement">'Useful Features'!$B$159</definedName>
    <definedName name="Anatomie_d_une_formule">'Useful Features'!#REF!</definedName>
    <definedName name="Anatomy_of_a_Formula">'Bonus Formulas'!$C$24</definedName>
    <definedName name="Choisir_une_formule">'Useful Features'!#REF!</definedName>
    <definedName name="Copier_le_format_d_une_cellule__une_ligne__ou_une_colonne">'Useful Features'!$B$150</definedName>
    <definedName name="Copying__Pasting__and_Dragging_Formulas">'Bonus Formulas'!$C$105</definedName>
    <definedName name="Creating_a_Pivot_Table_and_Pivot_Chart">#REF!</definedName>
    <definedName name="Creating_new_fields">#REF!</definedName>
    <definedName name="Direction_du_texte">'Useful Features'!$B$198</definedName>
    <definedName name="Entrer_et_visionner_une_formule">'Useful Features'!#REF!</definedName>
    <definedName name="Figer_les_volets">'Useful Features'!$B$47</definedName>
    <definedName name="Filtrage_de_données">'Useful Features'!$A$370</definedName>
    <definedName name="Filtre_avancé">'Useful Features'!$B$397</definedName>
    <definedName name="Filtre_régulier">'Useful Features'!$B$374</definedName>
    <definedName name="Format_de_la_cellule">'Useful Features'!$B$210</definedName>
    <definedName name="Formatting_a_Pivot_Chart">#REF!</definedName>
    <definedName name="Formules">'Useful Features'!#REF!</definedName>
    <definedName name="Fusionner_des_cellules">'Useful Features'!$B$229</definedName>
    <definedName name="Imprimer">'Useful Features'!$A$424</definedName>
    <definedName name="Insérer_et_supprimer_des_lignes_ou_colonnes">'Useful Features'!$B$60</definedName>
    <definedName name="Inserting_Formulas_in_a_worksheet">'Bonus Formulas'!$C$46</definedName>
    <definedName name="Langue_des_formules">'Useful Features'!#REF!</definedName>
    <definedName name="Masquer_et_afficher_des_lignes_ou_colonnes">'Useful Features'!$B$86</definedName>
    <definedName name="Menu">'Useful Features'!$A$2</definedName>
    <definedName name="Miow">'Bonus Formulas'!$A$165</definedName>
    <definedName name="Mise_en_forme_conditionnelle">'Useful Features'!$A$255</definedName>
    <definedName name="Mise_en_forme_de_cellules">'Useful Features'!$A$138</definedName>
    <definedName name="Modifier_la_couleur_d_une_cellule">'Useful Features'!$B$180</definedName>
    <definedName name="Modifying_Chart_Types">#REF!</definedName>
    <definedName name="Names_in_Formulas">'Bonus Formulas'!$C$153</definedName>
    <definedName name="Navigation">'Useful Features'!$B$38</definedName>
    <definedName name="Navigation_et_sélection">'Useful Features'!$A$13</definedName>
    <definedName name="Open_Workook">'Useful Features'!$B$106</definedName>
    <definedName name="Pivot_Charts">'Useful Features'!#REF!</definedName>
    <definedName name="Pivot_Tables_and_Pivot_Charts">#REF!</definedName>
    <definedName name="_xlnm.Print_Area" localSheetId="3">Instructions!$A$1:$B$32</definedName>
    <definedName name="_xlnm.Print_Area" localSheetId="1">'Useful Features'!$A:$C</definedName>
    <definedName name="Références_à_des_cellules" localSheetId="5">'Useful Features'!#REF!</definedName>
    <definedName name="Références_à_des_cellules">'Useful Features'!#REF!</definedName>
    <definedName name="Relative_and_Absolute_Cell_Addresses_in_Formulas">'Bonus Formulas'!$C$137</definedName>
    <definedName name="Renvoyer_à_la_ligne_automatiquement">'Useful Features'!$B$188</definedName>
    <definedName name="Sélection">'Useful Features'!$B$21</definedName>
    <definedName name="Slicer_and_timelines">#REF!</definedName>
    <definedName name="Styles_de_cellules_et_de_feuilles">'Useful Features'!$B$238</definedName>
    <definedName name="Tables_pivots">'Useful Features'!#REF!</definedName>
    <definedName name="TopMenu">'Bonus Formulas'!$A$2</definedName>
    <definedName name="Tri_de_données">'Useful Features'!$A$331</definedName>
    <definedName name="Viewing_and_Finding_Formulas">'Bonus Formulas'!$C$71</definedName>
    <definedName name="What_is_a_Formula?">'Bonus Formulas'!$C$12</definedName>
    <definedName name="Working_with_Formulas">'Bonus Formulas'!$C$46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42" i="7" l="1"/>
  <c r="B169" i="7"/>
  <c r="B168" i="7"/>
  <c r="B150" i="7"/>
  <c r="B149" i="7"/>
  <c r="B148" i="7"/>
  <c r="B146" i="7"/>
  <c r="B145" i="7"/>
  <c r="B144" i="7"/>
  <c r="B41" i="7"/>
  <c r="B40" i="7"/>
  <c r="B39" i="7"/>
  <c r="B38" i="7"/>
  <c r="B34" i="7"/>
  <c r="B33" i="7"/>
  <c r="B32" i="7"/>
  <c r="B31" i="7"/>
  <c r="B30" i="7"/>
  <c r="B19" i="7"/>
  <c r="B15" i="7"/>
</calcChain>
</file>

<file path=xl/sharedStrings.xml><?xml version="1.0" encoding="utf-8"?>
<sst xmlns="http://schemas.openxmlformats.org/spreadsheetml/2006/main" count="993" uniqueCount="475">
  <si>
    <t>Title</t>
  </si>
  <si>
    <t>Author</t>
  </si>
  <si>
    <t>Publisher</t>
  </si>
  <si>
    <t>Menu</t>
  </si>
  <si>
    <t>Navigation</t>
  </si>
  <si>
    <t>Ctrl-A</t>
  </si>
  <si>
    <t>Instructions</t>
  </si>
  <si>
    <t>67.50 USD</t>
  </si>
  <si>
    <t>HD59.2.V47 2015</t>
  </si>
  <si>
    <t>Research-Recommended</t>
  </si>
  <si>
    <t>ADV-AC</t>
  </si>
  <si>
    <t>Cloth</t>
  </si>
  <si>
    <t>PALGRAVE MACMILLAN</t>
  </si>
  <si>
    <t>VERHEZEN, PETER, 1960-</t>
  </si>
  <si>
    <t>VULNERABILITY OF CORPORATE REPUTATION: LEADERSHIP FOR SUSTAINABLE LONG-TERM VALUE.</t>
  </si>
  <si>
    <t>59.95 USD</t>
  </si>
  <si>
    <t>HF1365.B44</t>
  </si>
  <si>
    <t>Paper</t>
  </si>
  <si>
    <t>BUSINESS EXPERT PRESS</t>
  </si>
  <si>
    <t>BEER, LAWRENCE A</t>
  </si>
  <si>
    <t>HF5548.85.N67 2015</t>
  </si>
  <si>
    <t>NORDIN, MARIA</t>
  </si>
  <si>
    <t>SUPPORTING SLEEP: THE IMPORTANCE OF SOCIAL RELATIONS AT WORK.</t>
  </si>
  <si>
    <t>29.95 USD</t>
  </si>
  <si>
    <t>36.00 USD</t>
  </si>
  <si>
    <t>HD9161.M32G65 2015</t>
  </si>
  <si>
    <t>NUS PRESS</t>
  </si>
  <si>
    <t>GOLDTHORPE, C.C</t>
  </si>
  <si>
    <t>RUBBER MANUFACTURING IN MALAYSIA: RESOURCE-BASED INDUSTRIALIZATION IN PRACTICE.</t>
  </si>
  <si>
    <t>69.95 USD</t>
  </si>
  <si>
    <t>HD2785.E45 2016</t>
  </si>
  <si>
    <t>Basic-Recommended</t>
  </si>
  <si>
    <t>GEN-AC</t>
  </si>
  <si>
    <t>TRANSACTION</t>
  </si>
  <si>
    <t>EICHAR, DOUGLAS M</t>
  </si>
  <si>
    <t>RISE AND FALL OF CORPORATE SOCIAL RESPONSIBILITY.</t>
  </si>
  <si>
    <t>32.00 USD</t>
  </si>
  <si>
    <t>HD58.9</t>
  </si>
  <si>
    <t>ISLAND PRESS</t>
  </si>
  <si>
    <t>FIKSEL, JOSEPH</t>
  </si>
  <si>
    <t>RESILIENT BY DESIGN: CREATING BUSINESSES THAT ADAPT AND FLOURISH IN A CHANGING WORLD.</t>
  </si>
  <si>
    <t>49.95 USD</t>
  </si>
  <si>
    <t>HD3871.M67 2015</t>
  </si>
  <si>
    <t>Supplementary</t>
  </si>
  <si>
    <t>PROF</t>
  </si>
  <si>
    <t>KOGAN PAGE</t>
  </si>
  <si>
    <t>MORLEY, MALCOLM</t>
  </si>
  <si>
    <t>PUBLIC-PRIVATE PARTNERSHIP HANDBOOK: HOW TO MAXIMIZE VALUE FROM JOINT WORKING.</t>
  </si>
  <si>
    <t>95.00 USD</t>
  </si>
  <si>
    <t>HD58.8.P7 2016</t>
  </si>
  <si>
    <t>JOHN WILEY</t>
  </si>
  <si>
    <t>54.00 USD</t>
  </si>
  <si>
    <t>HD30.28.K367 2015</t>
  </si>
  <si>
    <t>WORLD SCIENTIFIC</t>
  </si>
  <si>
    <t>KASAHARA, EIICHI, 1958-</t>
  </si>
  <si>
    <t>PRACTICAL STRATEGIC MANAGEMENT: HOW TO APPLY STRATEGIC THINKING IN BUSINESS.</t>
  </si>
  <si>
    <t>60.00 USD</t>
  </si>
  <si>
    <t>HF5549.5.M3P433 2015</t>
  </si>
  <si>
    <t>PEASE, GENE, 1950-</t>
  </si>
  <si>
    <t>OPTIMIZE YOUR GREATEST ASSET--YOUR PEOPLE: HOW TO APPLY ANALYTICS TO BIG DATA TO IMPROVE YOUR HUMAN CAPITAL INVESTMENTS.</t>
  </si>
  <si>
    <t>HD62.5.B55 2015</t>
  </si>
  <si>
    <t>BIJAOUI, ILAN</t>
  </si>
  <si>
    <t>OPEN INCUBATOR MODEL: ENTREPRENEURSHIP, OPEN INNOVATION, AND ECONOMIC DEVELOPMENT IN THE... PERIPHERY.</t>
  </si>
  <si>
    <t>24.00 USD</t>
  </si>
  <si>
    <t>HF5415.1265</t>
  </si>
  <si>
    <t>SCOTT, DAVID MEERMAN</t>
  </si>
  <si>
    <t>34.99 USD</t>
  </si>
  <si>
    <t>HD31.2.E87 2015</t>
  </si>
  <si>
    <t>PEARSON</t>
  </si>
  <si>
    <t>ESPINOZA, CHIP, 1962-</t>
  </si>
  <si>
    <t>MILLENNIALS WHO MANAGE: HOW TO OVERCOME WORKPLACE PERCEPTIONS AND BECOME A GREAT LEADER.</t>
  </si>
  <si>
    <t>30.00 USD</t>
  </si>
  <si>
    <t>HF5422.K717 2015</t>
  </si>
  <si>
    <t>KRAKOVSKY, MARINA</t>
  </si>
  <si>
    <t>MIDDLEMAN ECONOMY: HOW BROKERS, AGENTS, DEALERS, AND EVERYDAY MATCHMAKERS CREATE VALUE AND PROFIT.</t>
  </si>
  <si>
    <t>99.95 USD</t>
  </si>
  <si>
    <t>HD58.8.D467</t>
  </si>
  <si>
    <t>ELSEVIER ACADEMIC PRESS</t>
  </si>
  <si>
    <t>DEPAMPHILIS, DONALD M</t>
  </si>
  <si>
    <t>HF5415.2.M37 2015</t>
  </si>
  <si>
    <t>PRINCE, MELVIN</t>
  </si>
  <si>
    <t>MARKET SENSING TODAY.</t>
  </si>
  <si>
    <t>HD49</t>
  </si>
  <si>
    <t>WEICK, KARL E</t>
  </si>
  <si>
    <t>70.00 USD</t>
  </si>
  <si>
    <t>HD38.5</t>
  </si>
  <si>
    <t>COPENHAGEN BUS SCHOOL PR</t>
  </si>
  <si>
    <t>HD30.3.Y36 2015</t>
  </si>
  <si>
    <t>YANKELEVITCH, SAM</t>
  </si>
  <si>
    <t>LEAN COMMUNICATION: APPLICATIONS FOR CONTINUOUS PROCESS IMPROVEMENT.</t>
  </si>
  <si>
    <t>40.00 USD</t>
  </si>
  <si>
    <t>HD30.27</t>
  </si>
  <si>
    <t>EMERALD GROUP PUBL</t>
  </si>
  <si>
    <t>LEADERSHIP 2050: CRITICAL CHALLENGES, KEY CONTEXTS, AND EMERGING TRENDS</t>
  </si>
  <si>
    <t>54.99 USD</t>
  </si>
  <si>
    <t>HD30.2</t>
  </si>
  <si>
    <t>SPRINGER</t>
  </si>
  <si>
    <t>AGRIFOGLIO, ROCCO</t>
  </si>
  <si>
    <t>KNOWLEDGE PRESERVATION THROUGH COMMUNITY OF PRACTICE: THEORETICAL ISSUES AND EMPIRICAL EVIDENCE</t>
  </si>
  <si>
    <t>39.95 USD</t>
  </si>
  <si>
    <t>PE1479.B87N53 2015</t>
  </si>
  <si>
    <t>ROUTLEDGE</t>
  </si>
  <si>
    <t>NICKERSON, CATHERINE, 1965-</t>
  </si>
  <si>
    <t>INTRODUCING BUSINESS ENGLISH.</t>
  </si>
  <si>
    <t>HD58.8.H697 2015</t>
  </si>
  <si>
    <t>HOYLE, ROBIN</t>
  </si>
  <si>
    <t>INFORMAL LEARNING IN ORGANIZATIONS: HOW TO CREATE A CONTINUOUS LEARNING CULTURE.</t>
  </si>
  <si>
    <t>46.99 USD</t>
  </si>
  <si>
    <t>HD45.S73 2016</t>
  </si>
  <si>
    <t>STAWSKI, SCOTT</t>
  </si>
  <si>
    <t>INFLECTION POINT: HOW THE CONVERGENCE OF CLOUD, MOBILITY, APPS, AND DATA WILL SHAPE THE FUTURE OF BUSINESS.</t>
  </si>
  <si>
    <t>44.95 USD</t>
  </si>
  <si>
    <t>HC79.C63R66 2015</t>
  </si>
  <si>
    <t>RONIT, KARSTEN</t>
  </si>
  <si>
    <t>GLOBAL CONSUMER ORGANIZATIONS.</t>
  </si>
  <si>
    <t>HD30.3.H96 2015</t>
  </si>
  <si>
    <t>HYNES, GERALDINE E</t>
  </si>
  <si>
    <t>GET ALONG, GET IT DONE, GET AHEAD: INTERPERSONAL COMMUNICATION IN THE DIVERSE WORKPLACE.</t>
  </si>
  <si>
    <t>40.95 USD</t>
  </si>
  <si>
    <t>HD6060.6.S74 2015</t>
  </si>
  <si>
    <t>PETER LANG</t>
  </si>
  <si>
    <t>STEFFENS, MELANIE C., 1969-</t>
  </si>
  <si>
    <t>GENDER AT WORK: A SOCIAL PSYCHOLOGICAL PERSPECTIVE.</t>
  </si>
  <si>
    <t>45.99 USD</t>
  </si>
  <si>
    <t>HD62.4.A746 2015</t>
  </si>
  <si>
    <t>INFORMATION AGE PUB</t>
  </si>
  <si>
    <t>ASGARY, NADER H</t>
  </si>
  <si>
    <t>FOUNDATIONS OF GLOBAL BUSINESS: A SYSTEMS APPROACH.</t>
  </si>
  <si>
    <t>HF5415.1263.H53 2015</t>
  </si>
  <si>
    <t>HIDALGO, CARLOS</t>
  </si>
  <si>
    <t>DRIVING DEMAND: TRANSFORMING B2B MARKETING TO MEET THE NEEDS OF THE MODERN BUYER.</t>
  </si>
  <si>
    <t>35.00 USD</t>
  </si>
  <si>
    <t>HF5415.1265W4525 2015</t>
  </si>
  <si>
    <t>WEINMAN, JOE, 1958-</t>
  </si>
  <si>
    <t>DIGITAL DISCIPLINES: ATTAINING MARKET LEADERSHIP VIA THE CLOUD, BIG DATA, SOCIAL, MOBILE, AND THE INTERNET OF THINGS.</t>
  </si>
  <si>
    <t>82.00 USD</t>
  </si>
  <si>
    <t>HD30.23.D379 2015</t>
  </si>
  <si>
    <t>NOVA SCIENCE</t>
  </si>
  <si>
    <t>DECISION-MAKING: PROCESSES, BEHAVIORAL INFLUENCES AND ROLE IN BUSINESS MANAGEMENT</t>
  </si>
  <si>
    <t>HF5415.5.D1655 2016</t>
  </si>
  <si>
    <t>DARK SIDE OF CRM: CUSTOMERS, RELATIONSHIPS AND MANAGEMENT</t>
  </si>
  <si>
    <t>HF5415.32.K37 2015</t>
  </si>
  <si>
    <t>KAPOOR, AVINASH</t>
  </si>
  <si>
    <t>CONSUMER EXPERIENCES AND EMOTION MANAGEMENT.</t>
  </si>
  <si>
    <t>HD45.S33 2015</t>
  </si>
  <si>
    <t>APRESS</t>
  </si>
  <si>
    <t>SCHAUFELD, JEROME</t>
  </si>
  <si>
    <t>COMMERCIALIZING INNOVATION: TURNING TECHNOLOGY BREAKTHROUGHS INTO PRODUCTS.</t>
  </si>
  <si>
    <t>HD38.2.C3765 2015</t>
  </si>
  <si>
    <t>CEO BRANDING: THEORY AND PRACTICE</t>
  </si>
  <si>
    <t>79.95 USD</t>
  </si>
  <si>
    <t>HD49.K55 2016</t>
  </si>
  <si>
    <t>AUERBACH PUBNS</t>
  </si>
  <si>
    <t>KLIEM, RALPH L</t>
  </si>
  <si>
    <t>BUSINESS CONTINUITY PLANNING: A PROJECT MANAGEMENT APPROACH.</t>
  </si>
  <si>
    <t>26.95 USD</t>
  </si>
  <si>
    <t>HF5381</t>
  </si>
  <si>
    <t>JOSSEY-BASS</t>
  </si>
  <si>
    <t>TULGAN, BRUCE</t>
  </si>
  <si>
    <t>BRIDGING THE SOFT SKILLS GAP: HOW TO TEACH THE MISSING BASICS TO TODAY'S YOUNG TALENT.</t>
  </si>
  <si>
    <t>79.99 USD</t>
  </si>
  <si>
    <t>HD30.23.B47 2016</t>
  </si>
  <si>
    <t>BEST THINKING IN BUSINESS ANALYTICS FROM THE DECISION SCIENCES INSTITUTE</t>
  </si>
  <si>
    <t>HD57.7.A3167 2014</t>
  </si>
  <si>
    <t>ADVANCES IN AUTHENTIC AND ETHICAL LEADERSHIP</t>
  </si>
  <si>
    <t>37.00 USD</t>
  </si>
  <si>
    <t>HD4885.U5C358 2015</t>
  </si>
  <si>
    <t>PRAEGER</t>
  </si>
  <si>
    <t>CANTOR, JEFFREY A</t>
  </si>
  <si>
    <t>21ST-CENTURY APPRENTICESHIP: BEST PRACTICES FOR BUILDING A WORLD-CLASS WORKFORCE.</t>
  </si>
  <si>
    <t>Binding</t>
  </si>
  <si>
    <t>ISBN</t>
  </si>
  <si>
    <t>TRACING THE ROOTS OF GLOBALIZATION AND BUSINESS PRINCIPLES. 2ND Ed.</t>
  </si>
  <si>
    <t>PRACTICING ORGANIZATION DEVELOPMENT: LEADING TRANSFORMATION AND CHANGE. 4th ed.</t>
  </si>
  <si>
    <t>NEW RULES OF MARKETING &amp; PR: HOW TO USE SOCIAL MEDIA, ONLINE VIDEO, MOBILE APPLICATIONS, BLOGS, NEWS RELEASES, AND VIRAL MARKETING TO REACH BUYERS DIRECTLY. 5th ed.</t>
  </si>
  <si>
    <t>MERGERS, ACQUISITIONS, AND OTHER RESTRUCTURING ACTIVITIES: AN INTEGRATED APPROACH TO PROCESS, TOOLS, CASES, AND SOLUTIONS. 8th ed.</t>
  </si>
  <si>
    <t>MANAGING THE UNEXPECTED: SUSTAINED PERFORMANCE IN A COMPLEX WORLD. 3rd ed.</t>
  </si>
  <si>
    <t>MANAGING THE GLOBAL SUPPLY CHAIN; JULIANA HSUAN ... ET AL. 4th ed.</t>
  </si>
  <si>
    <t>Apply these instructions to the Exercise worksheet. Following these instructions should result in a table similar to the one in the Results worksheet.</t>
  </si>
  <si>
    <t>Freeze the top row of the table (using Freeze Panes).</t>
  </si>
  <si>
    <t>Bold A1, center horizontally, apply a font size of 12.</t>
  </si>
  <si>
    <t>Copy-paste A1's formatting to the entire first row.</t>
  </si>
  <si>
    <t>Click in cell A2 and try to use keyboard shortcuts to select the rest of the table and apply a horizontal left-align.</t>
  </si>
  <si>
    <t>Add a thick outline for cells in rows 2 to end of table.</t>
  </si>
  <si>
    <t>Add a thick outline for cells in row 1 of the table.</t>
  </si>
  <si>
    <t>Add a thin interior border to the entire table.</t>
  </si>
  <si>
    <t>Roughly adjust width of columns to better fit width of content. Apply text wrapping.</t>
  </si>
  <si>
    <t>Center all text vertically.</t>
  </si>
  <si>
    <t>Pub Year</t>
  </si>
  <si>
    <t>LC/NLM/Dewey Class</t>
  </si>
  <si>
    <t>Content Level</t>
  </si>
  <si>
    <t>YBP Select</t>
  </si>
  <si>
    <t>US List</t>
  </si>
  <si>
    <t>Slip Date</t>
  </si>
  <si>
    <t>LINDA L. NEIDER / Editor</t>
  </si>
  <si>
    <t>MERRILL WARKENTIN / Editor</t>
  </si>
  <si>
    <t>MARC FETSCHERIN / Editor</t>
  </si>
  <si>
    <t>BANG NGUYEN / Editor</t>
  </si>
  <si>
    <t>REBECCA HUDSON / Editor</t>
  </si>
  <si>
    <t>MATTHEW SOWCIK / Editor</t>
  </si>
  <si>
    <t>WILLIAM J. ROTHWELL / Editor</t>
  </si>
  <si>
    <t>Add a beautiful fill color for cells in row 1 of the table.</t>
  </si>
  <si>
    <t>Change the orientation of text on row 1.</t>
  </si>
  <si>
    <t>Change your mind and re-establish the original orientation (Ctrl-Z or undo or select the appropriate option in the text orientation menu).</t>
  </si>
  <si>
    <t>Change the format of cells in column A to reveal the ISBN numbers.</t>
  </si>
  <si>
    <t>Insert a row before row 1, and a column before column A. Resize to make everything look more attractive. So pretty!</t>
  </si>
  <si>
    <t>Hide rows 5 to 15. Oh no! The data is gone?!</t>
  </si>
  <si>
    <t>Use find/replace to remove " USD" from the "US List" column.</t>
  </si>
  <si>
    <t>Use conditional formatting to reveal the most expensive books.</t>
  </si>
  <si>
    <t>Use conditional formatting to highlight the books where the author is an editor.</t>
  </si>
  <si>
    <t>Format cells of the "US List" column to the "Currency" format (with two decimals).</t>
  </si>
  <si>
    <t>Sort the table by author and then title. "Knowledge Preservation Through Community of Practice" should be the first book in the list.</t>
  </si>
  <si>
    <t>Remove the color filter. Use a text filter to list together all edited books.</t>
  </si>
  <si>
    <t>Setup the "Exercise" worksheet for printing. Include page numbers.</t>
  </si>
  <si>
    <t>Don't worry, the data is still there! Reveal all rows in the worksheet.</t>
  </si>
  <si>
    <t>Navigation and Selection</t>
  </si>
  <si>
    <t>Selection</t>
  </si>
  <si>
    <t>Freeze Panes</t>
  </si>
  <si>
    <t>Clicking a cell</t>
  </si>
  <si>
    <t>Double-clicking a cell</t>
  </si>
  <si>
    <t>Start typing to modify the existing text or formula of the cell.</t>
  </si>
  <si>
    <t>Clicking row numbers</t>
  </si>
  <si>
    <t>Clicking column letters</t>
  </si>
  <si>
    <t>Note:</t>
  </si>
  <si>
    <t>If in a range, select all cells in a range (do it again to select all cells in worksheet). If not in a range, select all cells in the worksheet.</t>
  </si>
  <si>
    <t>Click-Hold and then moving your mouse</t>
  </si>
  <si>
    <t>Ctrl-Hold and clicking</t>
  </si>
  <si>
    <t>Clicking (in corner of worksheet)</t>
  </si>
  <si>
    <t>Select all cells in worksheet.</t>
  </si>
  <si>
    <t>Clicking away from an active selection executes the contents (if applicable) and then escapes the selection before selecting your target.</t>
  </si>
  <si>
    <t xml:space="preserve">Ctrl-Home </t>
  </si>
  <si>
    <t>Ctrl-End</t>
  </si>
  <si>
    <t>Ctrl-Shift-[Arrow]</t>
  </si>
  <si>
    <t>Ctrl-Shift-Home</t>
  </si>
  <si>
    <t>Ctrl-Shift-End</t>
  </si>
  <si>
    <t>Ctrl-[Arrow]</t>
  </si>
  <si>
    <t>Select one or more rows.</t>
  </si>
  <si>
    <t>Select one or more columns.</t>
  </si>
  <si>
    <t>Select adjacent elements.</t>
  </si>
  <si>
    <t>Select non-adjacent elements.</t>
  </si>
  <si>
    <t>Select the first cell in your worksheet (or the first cell under a freeze panes).</t>
  </si>
  <si>
    <t>Reach the last cell (lower right corner) where data exists or has existed in a worksheet.</t>
  </si>
  <si>
    <t>Move from the active cell to the last cell before a blank, in the direction of the chosen arrow.</t>
  </si>
  <si>
    <t>Select cells, starting from the active cell and selecting cells until there is a blank, in the direction of the chosen arrow.</t>
  </si>
  <si>
    <t>Select cells, starting from the active cell and selecting cells all the way to the first cell in your worksheet (or the first cell under a freeze pane).</t>
  </si>
  <si>
    <t>Select cells, starting from the active cell and selecting cells all the way to the last cell (lower right corner) where data exists or has existed in a worksheet.</t>
  </si>
  <si>
    <t>Allows you to freeze rows and/or columns in place, so they are displayed even if you scroll away.</t>
  </si>
  <si>
    <t>Click under the row you want to freeze and/or to the right of the column you want to freeze. Click "Freeze Panes".</t>
  </si>
  <si>
    <t>Click "Unfreeze Panes" (same position in the menu) to restablish the standard view.</t>
  </si>
  <si>
    <t>View - Window</t>
  </si>
  <si>
    <t>Cell Formats</t>
  </si>
  <si>
    <t>Copy formatting of a cell, row, or column</t>
  </si>
  <si>
    <t>Align text inside a cell</t>
  </si>
  <si>
    <t>Add a border to a cell</t>
  </si>
  <si>
    <t>Modify the color of a cell</t>
  </si>
  <si>
    <t>Wrap text (adjust height of rows to see text)</t>
  </si>
  <si>
    <t>Change direction of text</t>
  </si>
  <si>
    <t>Format of a cell</t>
  </si>
  <si>
    <t>Merge cells</t>
  </si>
  <si>
    <t>Insert and delete rows and columns</t>
  </si>
  <si>
    <t>Hide and show rows and columns</t>
  </si>
  <si>
    <t>Cell and worksheet styles</t>
  </si>
  <si>
    <t>Select the cell, row, or column containing the desired formatting. Click on "Format Painter".</t>
  </si>
  <si>
    <t>Home - Clipboard</t>
  </si>
  <si>
    <t>Select all cells, rows, or columns where the formatting should be pasted.</t>
  </si>
  <si>
    <t>Align cell text horizontally or vertically</t>
  </si>
  <si>
    <t>Home - Alignment</t>
  </si>
  <si>
    <t>Home - Font</t>
  </si>
  <si>
    <t>The tool directly available in the Font section of the Home ribbon does not allow you as much control as this method.</t>
  </si>
  <si>
    <t>Right click on a cell, row, or column</t>
  </si>
  <si>
    <t>Home - Number</t>
  </si>
  <si>
    <t>It's very important to select the appropriate format, especially when dealing with numbers, dates, and time.</t>
  </si>
  <si>
    <t>Only merge cells when you are completely finished with a worksheet. Consider making a copy of your worksheet and merging cells in the copy instead.</t>
  </si>
  <si>
    <r>
      <t xml:space="preserve">Select one (or more) rows or columns </t>
    </r>
    <r>
      <rPr>
        <b/>
        <i/>
        <sz val="11"/>
        <color theme="1"/>
        <rFont val="Calibri"/>
        <family val="2"/>
        <scheme val="minor"/>
      </rPr>
      <t xml:space="preserve">after </t>
    </r>
    <r>
      <rPr>
        <i/>
        <sz val="11"/>
        <color theme="1"/>
        <rFont val="Calibri"/>
        <family val="2"/>
        <scheme val="minor"/>
      </rPr>
      <t>where you want to make an insertion.</t>
    </r>
  </si>
  <si>
    <t>Home - Cells</t>
  </si>
  <si>
    <t>After rows or columns have been inserted, you can choose to copy the format of rows and columns surrounding it.</t>
  </si>
  <si>
    <t>Click on the Format Painter tool that temporarily appears and select the best option.</t>
  </si>
  <si>
    <t>Hide and unhide rows and columns</t>
  </si>
  <si>
    <t>Select rows or columns you wish to hide.</t>
  </si>
  <si>
    <t>To unhide, select rows or columns behind and after the hidden rows or columns.</t>
  </si>
  <si>
    <t>To unhide everything, select all cells in the worksheet and unhide.</t>
  </si>
  <si>
    <t>Right click on a row or column</t>
  </si>
  <si>
    <t>Home - Style</t>
  </si>
  <si>
    <t>For cells</t>
  </si>
  <si>
    <t>For worksheets</t>
  </si>
  <si>
    <t>Page Layout - Themes</t>
  </si>
  <si>
    <t>Conditional Formatting</t>
  </si>
  <si>
    <t>Home - Styles</t>
  </si>
  <si>
    <t>=mod(row(),#)=0</t>
  </si>
  <si>
    <t>Use a formula to create emphasis such as:</t>
  </si>
  <si>
    <t>Sort</t>
  </si>
  <si>
    <t xml:space="preserve">Data - Sort &amp; Filter </t>
  </si>
  <si>
    <t>Emphasize cells containing data according to specific criteria.</t>
  </si>
  <si>
    <t>Use our own criteria to emphasize certain cells.</t>
  </si>
  <si>
    <t>Emphasize cells containing specific text.</t>
  </si>
  <si>
    <t>Let Excel add emphasis to cells.</t>
  </si>
  <si>
    <t>Where '#' is a number for which every '#' row is formatted.</t>
  </si>
  <si>
    <t>Select any cell in a range of cells.</t>
  </si>
  <si>
    <t>Enter the column to sort - if the suggestions seem strange, check if "data has headers" is correctly applied and check if the entire data range is selected.</t>
  </si>
  <si>
    <t>It's possible to sort using cell color.</t>
  </si>
  <si>
    <t>Add a level to sort using more than one criteria.</t>
  </si>
  <si>
    <t>You can sort data by row instead of by column…</t>
  </si>
  <si>
    <t>Filters</t>
  </si>
  <si>
    <t>Regular Filter</t>
  </si>
  <si>
    <t>Advanced Filter</t>
  </si>
  <si>
    <t>Make sure to explore the possibilities of text, data, number, and color filters.</t>
  </si>
  <si>
    <t>Select any cell in a range, and then click on the filter tool.</t>
  </si>
  <si>
    <t>Apply filters to temporarily view only rows of data that fit with specific criteria.</t>
  </si>
  <si>
    <t>Harder to use than the regular filter, but offers some interesting possibilities.</t>
  </si>
  <si>
    <t>Create a  'table' using the exact same column titles as the ones in the range that you wish to filter.</t>
  </si>
  <si>
    <t xml:space="preserve">Enter criteria for each column. </t>
  </si>
  <si>
    <t>Enter on the same row for 'AND".</t>
  </si>
  <si>
    <t>Enter on a different row for 'OR".</t>
  </si>
  <si>
    <t>For example, the above table finds all paper books published after 2015.</t>
  </si>
  <si>
    <t>Or books published by Routledge, regardless of year and binding.</t>
  </si>
  <si>
    <t>Select any cell in a range, and then click on the advanced filter tool.</t>
  </si>
  <si>
    <t>Select your 'table' of criterias.</t>
  </si>
  <si>
    <t>Decide if you want to send the filtered data somewhere else or filter in place.</t>
  </si>
  <si>
    <t>Printing</t>
  </si>
  <si>
    <t>Try the following actions to more easily prepare a worksheet for printing:</t>
  </si>
  <si>
    <t>Page Layout - Page Setup</t>
  </si>
  <si>
    <t>Page Layout - Scale to Fit</t>
  </si>
  <si>
    <t>If you want a row or column to repeat on each printed page.</t>
  </si>
  <si>
    <t>Select all cells with data to print.</t>
  </si>
  <si>
    <t>File - Print</t>
  </si>
  <si>
    <t>Use narrow margins to make contents bigger</t>
  </si>
  <si>
    <t>Use File - Print to find the print preview.</t>
  </si>
  <si>
    <t>Go to "Page Setup" and then "Header/Footer" to add page numbers</t>
  </si>
  <si>
    <t>If you want to print a very wide table on two pages, select two pages instead of one for the width of the print area.</t>
  </si>
  <si>
    <t>Then choose the following option to keep the pages in order:</t>
  </si>
  <si>
    <r>
      <rPr>
        <b/>
        <sz val="11"/>
        <rFont val="Calibri"/>
        <family val="2"/>
        <scheme val="minor"/>
      </rPr>
      <t>Scroll down</t>
    </r>
    <r>
      <rPr>
        <sz val="11"/>
        <rFont val="Calibri"/>
        <family val="2"/>
        <scheme val="minor"/>
      </rPr>
      <t xml:space="preserve"> after selecting item in menu - desired instructions are at the bottom of the screen</t>
    </r>
  </si>
  <si>
    <t>Formulas</t>
  </si>
  <si>
    <r>
      <rPr>
        <b/>
        <sz val="12"/>
        <rFont val="Calibri"/>
        <family val="2"/>
        <scheme val="minor"/>
      </rPr>
      <t>Scroll down</t>
    </r>
    <r>
      <rPr>
        <sz val="12"/>
        <rFont val="Calibri"/>
        <family val="2"/>
        <scheme val="minor"/>
      </rPr>
      <t xml:space="preserve"> after selecting item from menu -- desired instructions are at the bottom of the screen</t>
    </r>
  </si>
  <si>
    <t>What is a formula?</t>
  </si>
  <si>
    <t>Anatomy of a formula</t>
  </si>
  <si>
    <t>Inserting formulas in a worksheet</t>
  </si>
  <si>
    <t>Viewing and finding formulas</t>
  </si>
  <si>
    <t>Copying, pasting, and dragging formulas</t>
  </si>
  <si>
    <t>Relative and absolute cell addresses in formulas</t>
  </si>
  <si>
    <t>Names in formulas</t>
  </si>
  <si>
    <t>What is a Formula?</t>
  </si>
  <si>
    <t>Formula</t>
  </si>
  <si>
    <t>Result</t>
  </si>
  <si>
    <r>
      <t>Formulas are commands used to manipulate data in Excel. They are introduced in a cell by using the '</t>
    </r>
    <r>
      <rPr>
        <b/>
        <i/>
        <sz val="12"/>
        <color rgb="FF00B050"/>
        <rFont val="Calibri"/>
        <family val="2"/>
        <scheme val="minor"/>
      </rPr>
      <t>=</t>
    </r>
    <r>
      <rPr>
        <i/>
        <sz val="12"/>
        <color theme="1"/>
        <rFont val="Calibri"/>
        <family val="2"/>
        <scheme val="minor"/>
      </rPr>
      <t>' symbol.</t>
    </r>
  </si>
  <si>
    <r>
      <rPr>
        <b/>
        <sz val="12"/>
        <color rgb="FF00B050"/>
        <rFont val="Calibri"/>
        <family val="2"/>
        <scheme val="minor"/>
      </rPr>
      <t>=</t>
    </r>
    <r>
      <rPr>
        <sz val="12"/>
        <color theme="1"/>
        <rFont val="Calibri"/>
        <family val="2"/>
        <scheme val="minor"/>
      </rPr>
      <t>2+3</t>
    </r>
  </si>
  <si>
    <t>For example, =2+3 makes Excel add 2 and 3 together, giving us "5" as a result.</t>
  </si>
  <si>
    <t>You can use '=' to make Excel calculate the result of most common numerical operations (and some string operations).</t>
  </si>
  <si>
    <t xml:space="preserve">But the true strength of formulas (also called functions) are special commands programmed by Excel. You summon these formulas by calling their name after the '=' sign. </t>
  </si>
  <si>
    <r>
      <rPr>
        <b/>
        <sz val="12"/>
        <color rgb="FF00B050"/>
        <rFont val="Calibri"/>
        <family val="2"/>
        <scheme val="minor"/>
      </rPr>
      <t>=SUM</t>
    </r>
    <r>
      <rPr>
        <sz val="12"/>
        <color theme="1"/>
        <rFont val="Calibri"/>
        <family val="2"/>
        <scheme val="minor"/>
      </rPr>
      <t>(2,2,1)</t>
    </r>
  </si>
  <si>
    <r>
      <t>For example, the</t>
    </r>
    <r>
      <rPr>
        <b/>
        <i/>
        <sz val="12"/>
        <color rgb="FF00B050"/>
        <rFont val="Calibri"/>
        <family val="2"/>
        <scheme val="minor"/>
      </rPr>
      <t>SUM</t>
    </r>
    <r>
      <rPr>
        <i/>
        <sz val="12"/>
        <color theme="1"/>
        <rFont val="Calibri"/>
        <family val="2"/>
        <scheme val="minor"/>
      </rPr>
      <t xml:space="preserve"> function sums up all numbers separated by commas contained in the formula (delimited by parentheses) and returns the result.</t>
    </r>
  </si>
  <si>
    <r>
      <t xml:space="preserve">The result of a formula, what the formula </t>
    </r>
    <r>
      <rPr>
        <b/>
        <i/>
        <sz val="12"/>
        <color theme="1"/>
        <rFont val="Calibri"/>
        <family val="2"/>
        <scheme val="minor"/>
      </rPr>
      <t>returns</t>
    </r>
    <r>
      <rPr>
        <i/>
        <sz val="12"/>
        <color theme="1"/>
        <rFont val="Calibri"/>
        <family val="2"/>
        <scheme val="minor"/>
      </rPr>
      <t>, might be a number or a string of text or something else entirely.</t>
    </r>
  </si>
  <si>
    <t>For the purposes of this tutorial, 'formulas' will refer to the special commands programmed by Excel.</t>
  </si>
  <si>
    <t>Back to Top</t>
  </si>
  <si>
    <t>Anatomy of a Formula</t>
  </si>
  <si>
    <r>
      <t xml:space="preserve">Formulas follow a specific structure. First, there is the '=' symbol and the </t>
    </r>
    <r>
      <rPr>
        <b/>
        <i/>
        <sz val="12"/>
        <color rgb="FF00B050"/>
        <rFont val="Calibri"/>
        <family val="2"/>
        <scheme val="minor"/>
      </rPr>
      <t xml:space="preserve">name </t>
    </r>
    <r>
      <rPr>
        <i/>
        <sz val="12"/>
        <color theme="1"/>
        <rFont val="Calibri"/>
        <family val="2"/>
        <scheme val="minor"/>
      </rPr>
      <t>of the function being called.</t>
    </r>
  </si>
  <si>
    <r>
      <t xml:space="preserve">Next, enclosed in parenthesis, you have the </t>
    </r>
    <r>
      <rPr>
        <b/>
        <i/>
        <sz val="12"/>
        <color theme="4" tint="-0.499984740745262"/>
        <rFont val="Calibri"/>
        <family val="2"/>
        <scheme val="minor"/>
      </rPr>
      <t>arguments</t>
    </r>
    <r>
      <rPr>
        <i/>
        <sz val="12"/>
        <color theme="1"/>
        <rFont val="Calibri"/>
        <family val="2"/>
        <scheme val="minor"/>
      </rPr>
      <t xml:space="preserve"> of a formula, separated by commas.</t>
    </r>
  </si>
  <si>
    <t>Some arguments might be optional - when manually entering a formula, optional arguments will be indicated by brackets.</t>
  </si>
  <si>
    <r>
      <rPr>
        <b/>
        <sz val="12"/>
        <color rgb="FF00B050"/>
        <rFont val="Calibri"/>
        <family val="2"/>
        <scheme val="minor"/>
      </rPr>
      <t>=SUM</t>
    </r>
    <r>
      <rPr>
        <b/>
        <sz val="12"/>
        <color theme="1"/>
        <rFont val="Calibri"/>
        <family val="2"/>
        <scheme val="minor"/>
      </rPr>
      <t>(</t>
    </r>
    <r>
      <rPr>
        <b/>
        <sz val="12"/>
        <color theme="4" tint="-0.499984740745262"/>
        <rFont val="Calibri"/>
        <family val="2"/>
        <scheme val="minor"/>
      </rPr>
      <t>2</t>
    </r>
    <r>
      <rPr>
        <b/>
        <sz val="12"/>
        <color theme="1"/>
        <rFont val="Calibri"/>
        <family val="2"/>
        <scheme val="minor"/>
      </rPr>
      <t>,</t>
    </r>
    <r>
      <rPr>
        <b/>
        <sz val="12"/>
        <color theme="4" tint="-0.499984740745262"/>
        <rFont val="Calibri"/>
        <family val="2"/>
        <scheme val="minor"/>
      </rPr>
      <t>3</t>
    </r>
    <r>
      <rPr>
        <b/>
        <sz val="12"/>
        <color theme="1"/>
        <rFont val="Calibri"/>
        <family val="2"/>
        <scheme val="minor"/>
      </rPr>
      <t>)</t>
    </r>
  </si>
  <si>
    <r>
      <rPr>
        <b/>
        <sz val="12"/>
        <color rgb="FF00B050"/>
        <rFont val="Calibri"/>
        <family val="2"/>
        <scheme val="minor"/>
      </rPr>
      <t>=SUM</t>
    </r>
    <r>
      <rPr>
        <b/>
        <sz val="12"/>
        <color theme="1"/>
        <rFont val="Calibri"/>
        <family val="2"/>
        <scheme val="minor"/>
      </rPr>
      <t>(</t>
    </r>
    <r>
      <rPr>
        <b/>
        <sz val="12"/>
        <color theme="4" tint="-0.499984740745262"/>
        <rFont val="Calibri"/>
        <family val="2"/>
        <scheme val="minor"/>
      </rPr>
      <t>2</t>
    </r>
    <r>
      <rPr>
        <b/>
        <sz val="12"/>
        <color theme="1"/>
        <rFont val="Calibri"/>
        <family val="2"/>
        <scheme val="minor"/>
      </rPr>
      <t>,</t>
    </r>
    <r>
      <rPr>
        <b/>
        <sz val="12"/>
        <color theme="4" tint="-0.499984740745262"/>
        <rFont val="Calibri"/>
        <family val="2"/>
        <scheme val="minor"/>
      </rPr>
      <t>3,1</t>
    </r>
    <r>
      <rPr>
        <b/>
        <sz val="12"/>
        <color theme="1"/>
        <rFont val="Calibri"/>
        <family val="2"/>
        <scheme val="minor"/>
      </rPr>
      <t>)</t>
    </r>
  </si>
  <si>
    <t>Formulas generally require specific types of argument: numbers, text, cell ranges, boolean values, etc.</t>
  </si>
  <si>
    <r>
      <rPr>
        <b/>
        <sz val="12"/>
        <color rgb="FF00B050"/>
        <rFont val="Calibri"/>
        <family val="2"/>
        <scheme val="minor"/>
      </rPr>
      <t>=SUM</t>
    </r>
    <r>
      <rPr>
        <b/>
        <sz val="12"/>
        <color theme="1"/>
        <rFont val="Calibri"/>
        <family val="2"/>
        <scheme val="minor"/>
      </rPr>
      <t>(</t>
    </r>
    <r>
      <rPr>
        <b/>
        <sz val="12"/>
        <color theme="4" tint="-0.499984740745262"/>
        <rFont val="Calibri"/>
        <family val="2"/>
        <scheme val="minor"/>
      </rPr>
      <t>2</t>
    </r>
    <r>
      <rPr>
        <b/>
        <sz val="12"/>
        <color theme="1"/>
        <rFont val="Calibri"/>
        <family val="2"/>
        <scheme val="minor"/>
      </rPr>
      <t>,</t>
    </r>
    <r>
      <rPr>
        <b/>
        <sz val="12"/>
        <color theme="4" tint="-0.499984740745262"/>
        <rFont val="Calibri"/>
        <family val="2"/>
        <scheme val="minor"/>
      </rPr>
      <t>3,"cat"</t>
    </r>
    <r>
      <rPr>
        <b/>
        <sz val="12"/>
        <color theme="1"/>
        <rFont val="Calibri"/>
        <family val="2"/>
        <scheme val="minor"/>
      </rPr>
      <t>)</t>
    </r>
  </si>
  <si>
    <t>For example, the sum formula uses numbers as its arguments, it won't work with text. It makes sense. How would you add up "cat" with 2 and 3?</t>
  </si>
  <si>
    <t>If cells in the cell range contain data of a different type from what is accepted by the argument, the formula will either ignore the incorrect input or fail.</t>
  </si>
  <si>
    <r>
      <rPr>
        <b/>
        <sz val="12"/>
        <color rgb="FF00B050"/>
        <rFont val="Calibri"/>
        <family val="2"/>
        <scheme val="minor"/>
      </rPr>
      <t>=LEFT(</t>
    </r>
    <r>
      <rPr>
        <sz val="12"/>
        <color theme="1"/>
        <rFont val="Calibri"/>
        <family val="2"/>
        <scheme val="minor"/>
      </rPr>
      <t>"</t>
    </r>
    <r>
      <rPr>
        <b/>
        <sz val="12"/>
        <color theme="8" tint="-0.499984740745262"/>
        <rFont val="Calibri"/>
        <family val="2"/>
        <scheme val="minor"/>
      </rPr>
      <t>Excel is fun</t>
    </r>
    <r>
      <rPr>
        <sz val="12"/>
        <color theme="1"/>
        <rFont val="Calibri"/>
        <family val="2"/>
        <scheme val="minor"/>
      </rPr>
      <t>")</t>
    </r>
  </si>
  <si>
    <r>
      <t>The</t>
    </r>
    <r>
      <rPr>
        <b/>
        <i/>
        <sz val="12"/>
        <color rgb="FF00B050"/>
        <rFont val="Calibri"/>
        <family val="2"/>
        <scheme val="minor"/>
      </rPr>
      <t>left</t>
    </r>
    <r>
      <rPr>
        <i/>
        <sz val="12"/>
        <color theme="1"/>
        <rFont val="Calibri"/>
        <family val="2"/>
        <scheme val="minor"/>
      </rPr>
      <t xml:space="preserve"> function has two arguments. First, it requires some sort of </t>
    </r>
    <r>
      <rPr>
        <b/>
        <i/>
        <sz val="12"/>
        <color theme="8" tint="-0.499984740745262"/>
        <rFont val="Calibri"/>
        <family val="2"/>
        <scheme val="minor"/>
      </rPr>
      <t>text.</t>
    </r>
    <r>
      <rPr>
        <i/>
        <sz val="12"/>
        <color theme="1"/>
        <rFont val="Calibri"/>
        <family val="2"/>
        <scheme val="minor"/>
      </rPr>
      <t xml:space="preserve"> In Excel formulas, text (also called strings) are enclosed in quotation marks. The second argument is optional. We provide the number of characters to extract in the string, starting from the left. If we don't specify a number of characters, "1" is chosen by default. This formula </t>
    </r>
    <r>
      <rPr>
        <b/>
        <i/>
        <sz val="12"/>
        <color theme="1"/>
        <rFont val="Calibri"/>
        <family val="2"/>
        <scheme val="minor"/>
      </rPr>
      <t>returns text</t>
    </r>
    <r>
      <rPr>
        <i/>
        <sz val="12"/>
        <color theme="1"/>
        <rFont val="Calibri"/>
        <family val="2"/>
        <scheme val="minor"/>
      </rPr>
      <t>. In the example, the letter in position 1 is extracted from "Excel is fun": "E".</t>
    </r>
  </si>
  <si>
    <r>
      <rPr>
        <b/>
        <sz val="12"/>
        <color rgb="FF00B050"/>
        <rFont val="Calibri"/>
        <family val="2"/>
        <scheme val="minor"/>
      </rPr>
      <t>=LEFT(</t>
    </r>
    <r>
      <rPr>
        <sz val="12"/>
        <color theme="1"/>
        <rFont val="Calibri"/>
        <family val="2"/>
        <scheme val="minor"/>
      </rPr>
      <t>"</t>
    </r>
    <r>
      <rPr>
        <b/>
        <sz val="12"/>
        <color theme="8" tint="-0.499984740745262"/>
        <rFont val="Calibri"/>
        <family val="2"/>
        <scheme val="minor"/>
      </rPr>
      <t>Excel is fun</t>
    </r>
    <r>
      <rPr>
        <sz val="12"/>
        <color theme="1"/>
        <rFont val="Calibri"/>
        <family val="2"/>
        <scheme val="minor"/>
      </rPr>
      <t>",</t>
    </r>
    <r>
      <rPr>
        <b/>
        <sz val="12"/>
        <color theme="5" tint="-0.499984740745262"/>
        <rFont val="Calibri"/>
        <family val="2"/>
        <scheme val="minor"/>
      </rPr>
      <t>5</t>
    </r>
    <r>
      <rPr>
        <sz val="12"/>
        <color theme="1"/>
        <rFont val="Calibri"/>
        <family val="2"/>
        <scheme val="minor"/>
      </rPr>
      <t>)</t>
    </r>
  </si>
  <si>
    <r>
      <t xml:space="preserve">By supplying the optional argument, we tell Excel to return the </t>
    </r>
    <r>
      <rPr>
        <b/>
        <i/>
        <sz val="12"/>
        <color theme="5" tint="-0.499984740745262"/>
        <rFont val="Calibri"/>
        <family val="2"/>
        <scheme val="minor"/>
      </rPr>
      <t>first five letters</t>
    </r>
    <r>
      <rPr>
        <i/>
        <sz val="12"/>
        <color theme="1"/>
        <rFont val="Calibri"/>
        <family val="2"/>
        <scheme val="minor"/>
      </rPr>
      <t xml:space="preserve"> in "</t>
    </r>
    <r>
      <rPr>
        <b/>
        <i/>
        <sz val="12"/>
        <color theme="8" tint="-0.499984740745262"/>
        <rFont val="Calibri"/>
        <family val="2"/>
        <scheme val="minor"/>
      </rPr>
      <t>Excel is fun</t>
    </r>
    <r>
      <rPr>
        <i/>
        <sz val="12"/>
        <color theme="1"/>
        <rFont val="Calibri"/>
        <family val="2"/>
        <scheme val="minor"/>
      </rPr>
      <t>", starting from the left.</t>
    </r>
  </si>
  <si>
    <r>
      <rPr>
        <b/>
        <sz val="12"/>
        <color rgb="FF00B050"/>
        <rFont val="Calibri"/>
        <family val="2"/>
        <scheme val="minor"/>
      </rPr>
      <t>=LEFT(</t>
    </r>
    <r>
      <rPr>
        <sz val="12"/>
        <color theme="1"/>
        <rFont val="Calibri"/>
        <family val="2"/>
        <scheme val="minor"/>
      </rPr>
      <t>"</t>
    </r>
    <r>
      <rPr>
        <b/>
        <sz val="12"/>
        <color theme="8" tint="-0.499984740745262"/>
        <rFont val="Calibri"/>
        <family val="2"/>
        <scheme val="minor"/>
      </rPr>
      <t>Excel is fun</t>
    </r>
    <r>
      <rPr>
        <sz val="12"/>
        <color theme="1"/>
        <rFont val="Calibri"/>
        <family val="2"/>
        <scheme val="minor"/>
      </rPr>
      <t>",</t>
    </r>
    <r>
      <rPr>
        <b/>
        <sz val="12"/>
        <color theme="7" tint="-0.499984740745262"/>
        <rFont val="Calibri"/>
        <family val="2"/>
        <scheme val="minor"/>
      </rPr>
      <t>2+3</t>
    </r>
    <r>
      <rPr>
        <sz val="12"/>
        <color theme="1"/>
        <rFont val="Calibri"/>
        <family val="2"/>
        <scheme val="minor"/>
      </rPr>
      <t>)</t>
    </r>
  </si>
  <si>
    <r>
      <t xml:space="preserve">Excel is perfectly happy with performing a </t>
    </r>
    <r>
      <rPr>
        <b/>
        <i/>
        <sz val="12"/>
        <color theme="7" tint="-0.499984740745262"/>
        <rFont val="Calibri"/>
        <family val="2"/>
        <scheme val="minor"/>
      </rPr>
      <t>mathematical operation</t>
    </r>
    <r>
      <rPr>
        <i/>
        <sz val="12"/>
        <color theme="1"/>
        <rFont val="Calibri"/>
        <family val="2"/>
        <scheme val="minor"/>
      </rPr>
      <t xml:space="preserve"> in an argument and using its result.</t>
    </r>
  </si>
  <si>
    <r>
      <rPr>
        <b/>
        <sz val="12"/>
        <color rgb="FF00B050"/>
        <rFont val="Calibri"/>
        <family val="2"/>
        <scheme val="minor"/>
      </rPr>
      <t>=LEFT(</t>
    </r>
    <r>
      <rPr>
        <sz val="12"/>
        <color theme="1"/>
        <rFont val="Calibri"/>
        <family val="2"/>
        <scheme val="minor"/>
      </rPr>
      <t>"</t>
    </r>
    <r>
      <rPr>
        <b/>
        <sz val="12"/>
        <color theme="8" tint="-0.499984740745262"/>
        <rFont val="Calibri"/>
        <family val="2"/>
        <scheme val="minor"/>
      </rPr>
      <t>Excel is fun</t>
    </r>
    <r>
      <rPr>
        <sz val="12"/>
        <color theme="1"/>
        <rFont val="Calibri"/>
        <family val="2"/>
        <scheme val="minor"/>
      </rPr>
      <t>",</t>
    </r>
    <r>
      <rPr>
        <b/>
        <sz val="12"/>
        <color rgb="FF9933FF"/>
        <rFont val="Calibri"/>
        <family val="2"/>
        <scheme val="minor"/>
      </rPr>
      <t>sum(2,3)</t>
    </r>
    <r>
      <rPr>
        <sz val="12"/>
        <color theme="1"/>
        <rFont val="Calibri"/>
        <family val="2"/>
        <scheme val="minor"/>
      </rPr>
      <t>)</t>
    </r>
  </si>
  <si>
    <r>
      <t xml:space="preserve">As long as it returns a value of the right type, </t>
    </r>
    <r>
      <rPr>
        <b/>
        <i/>
        <sz val="12"/>
        <color theme="1"/>
        <rFont val="Calibri"/>
        <family val="2"/>
        <scheme val="minor"/>
      </rPr>
      <t>a formula can be used as the argument of another formula</t>
    </r>
    <r>
      <rPr>
        <i/>
        <sz val="12"/>
        <color theme="1"/>
        <rFont val="Calibri"/>
        <family val="2"/>
        <scheme val="minor"/>
      </rPr>
      <t>. For example, here we are using the string "</t>
    </r>
    <r>
      <rPr>
        <b/>
        <i/>
        <sz val="12"/>
        <color theme="8" tint="-0.499984740745262"/>
        <rFont val="Calibri"/>
        <family val="2"/>
        <scheme val="minor"/>
      </rPr>
      <t>Excel is fun</t>
    </r>
    <r>
      <rPr>
        <i/>
        <sz val="12"/>
        <color theme="1"/>
        <rFont val="Calibri"/>
        <family val="2"/>
        <scheme val="minor"/>
      </rPr>
      <t xml:space="preserve">" as our first argument. The next argument must be the </t>
    </r>
    <r>
      <rPr>
        <b/>
        <i/>
        <sz val="12"/>
        <color rgb="FF7030A0"/>
        <rFont val="Calibri"/>
        <family val="2"/>
        <scheme val="minor"/>
      </rPr>
      <t>number of characters we want to extract from the string</t>
    </r>
    <r>
      <rPr>
        <i/>
        <sz val="12"/>
        <color theme="1"/>
        <rFont val="Calibri"/>
        <family val="2"/>
        <scheme val="minor"/>
      </rPr>
      <t xml:space="preserve">. Instead of a number, we use  </t>
    </r>
    <r>
      <rPr>
        <b/>
        <i/>
        <sz val="12"/>
        <color rgb="FF7030A0"/>
        <rFont val="Calibri"/>
        <family val="2"/>
        <scheme val="minor"/>
      </rPr>
      <t>sum(2,3) to add together 2 and 3</t>
    </r>
    <r>
      <rPr>
        <i/>
        <sz val="12"/>
        <color theme="1"/>
        <rFont val="Calibri"/>
        <family val="2"/>
        <scheme val="minor"/>
      </rPr>
      <t xml:space="preserve">. That formula returns the number 5, which is then used to specify the number of characters to return in the </t>
    </r>
    <r>
      <rPr>
        <b/>
        <i/>
        <sz val="12"/>
        <color rgb="FF00B050"/>
        <rFont val="Calibri"/>
        <family val="2"/>
        <scheme val="minor"/>
      </rPr>
      <t>left</t>
    </r>
    <r>
      <rPr>
        <i/>
        <sz val="12"/>
        <color theme="1"/>
        <rFont val="Calibri"/>
        <family val="2"/>
        <scheme val="minor"/>
      </rPr>
      <t xml:space="preserve"> formula.</t>
    </r>
  </si>
  <si>
    <t>With arguments being able to contain cell addresses, cell ranges, mathematical operations, and other nested formulas, complexity quickly rises. It may be easiest to understand complex formulas by separately evaluating each argument - so remember to look for the commas. You could also try creating the simplest version of a formula before modifying its arguments for the desired effect.</t>
  </si>
  <si>
    <t>Inserting Formulas in a worksheet</t>
  </si>
  <si>
    <t xml:space="preserve">Select a cell. Write =  </t>
  </si>
  <si>
    <t>Allows you to manually input a formula in Excel - Excel will try to guess the name of the formula as you type it. It will give a brief reminder of what should be inputted for each argument of the function. Optional arguments are given in brackets. Instead of manually typing in a cell address, you can select the desired cell or cells. Use quotation marks to enter text as an argument.</t>
  </si>
  <si>
    <t>While actively manually typing in a formula, Excel will color code cell addresses in your formula, and will correspondingly color the cells at the specified addresses.</t>
  </si>
  <si>
    <t>Select a cell. Write '=</t>
  </si>
  <si>
    <t>Creates a formula without activating it, displays a formula without activating it. You won't get contextual help with building the formula, but you won't have to deal with error messages. When finished, remove the apostrophe to activate the formula.</t>
  </si>
  <si>
    <t>Select a cell. Formulas - Function Library</t>
  </si>
  <si>
    <t>Click on "Insert Function" to use a wizard to enter a formula. You can click on the arrows to select cells instead of manually inputting cell addresses. If you don't know what formula might fit your needs, you can also use Insert Function to search the formula library.</t>
  </si>
  <si>
    <t>Viewing and Finding Formulas</t>
  </si>
  <si>
    <t>Double-clicking on a cell containing a formula</t>
  </si>
  <si>
    <t>Enables you to edit the formula. Will activate matching colors for the cell addresses and the concerned cells if the formula has references (addresses) to cells.</t>
  </si>
  <si>
    <t>Formulas - Formula Auditing</t>
  </si>
  <si>
    <t>Select the cell containing a formula you would like to trace, and click on "Trace Precedents" or "Trace Dependents" to view locations of cells involved in a formula, as well as cells belonging to formulas nested inside other formulas. Click on "Remove Arrows" to clear this view.</t>
  </si>
  <si>
    <t>Click on "Show Formulas" to toggle from viewing results of formulas, to viewing the formula itself in all cells of the worksheet. WARNING: this might have an irreversible impact on the formatting of your worksheet.</t>
  </si>
  <si>
    <t>Click on a cell - F5</t>
  </si>
  <si>
    <t>Click on "Special" and select "formulas" to temporarily select all cells containing formulas in your worksheet. You can hit "enter" to navigate from cell to cell, format all cells that have formulas, etc.</t>
  </si>
  <si>
    <t>or</t>
  </si>
  <si>
    <t>Home - Editing</t>
  </si>
  <si>
    <t>Copying, Pasting, and Dragging Formulas</t>
  </si>
  <si>
    <t>About copy-pasted formulas</t>
  </si>
  <si>
    <t>When copy-pasting a formula that contains cell addresses, the formula will automatically change references to rows for each row where it is pasted, and will change references to columns for each columns where it is pasted.</t>
  </si>
  <si>
    <t>=A108</t>
  </si>
  <si>
    <t>Ctrl-C and Ctrl-V</t>
  </si>
  <si>
    <t>Keyboard shortcuts for copy-pasting. Works with formulas.</t>
  </si>
  <si>
    <t>Right click on cell - Copy or Paste</t>
  </si>
  <si>
    <t>Copy-pasting. Works with formulas. The paste menu will have a few options - choose carefully.</t>
  </si>
  <si>
    <t>Dragging the fill handle</t>
  </si>
  <si>
    <t>Select a cell and drag the fill handle to copy-paste. Works with formulas.</t>
  </si>
  <si>
    <t>Double-clicking on the fill handle</t>
  </si>
  <si>
    <t>If working with a range of formulas, such as a table, double-clicking on the fill handle will fill out the rest of the row or column with the formula.</t>
  </si>
  <si>
    <t>To transform formulas back into values</t>
  </si>
  <si>
    <t>Select the formula or formulas. Copy using your favorite method. While the selection is still active, paste in place by selecting "paste as values". If using Ctrl-V to paste, you will temporarily be able to select "paste as values" from a tiny pop-up menu. Your formulas are gone, replaced by values.</t>
  </si>
  <si>
    <t>Relative and Absolute Cell Addresses in Formulas</t>
  </si>
  <si>
    <t>Cat</t>
  </si>
  <si>
    <r>
      <t>When copy-pasting a formula that contains cell addresses, the formula will automatically change references to rows for each row where it is pasted, and will change references to columns for each columns where it is pasted.</t>
    </r>
    <r>
      <rPr>
        <b/>
        <i/>
        <sz val="12"/>
        <color theme="1"/>
        <rFont val="Calibri"/>
        <family val="2"/>
        <scheme val="minor"/>
      </rPr>
      <t xml:space="preserve">This is not always desired behavior </t>
    </r>
    <r>
      <rPr>
        <i/>
        <sz val="12"/>
        <color theme="1"/>
        <rFont val="Calibri"/>
        <family val="2"/>
        <scheme val="minor"/>
      </rPr>
      <t>and can be especially problematic in formulas that have ranges as arguments.</t>
    </r>
  </si>
  <si>
    <r>
      <rPr>
        <i/>
        <sz val="12"/>
        <color theme="1"/>
        <rFont val="Calibri"/>
        <family val="2"/>
        <scheme val="minor"/>
      </rPr>
      <t xml:space="preserve">In a cell address, the $ symbol before a column and/or before a row tells Excel that when the formula is copy-pasted in a different location, it must </t>
    </r>
    <r>
      <rPr>
        <b/>
        <i/>
        <sz val="12"/>
        <color theme="1"/>
        <rFont val="Calibri"/>
        <family val="2"/>
        <scheme val="minor"/>
      </rPr>
      <t xml:space="preserve">not </t>
    </r>
    <r>
      <rPr>
        <i/>
        <sz val="12"/>
        <color theme="1"/>
        <rFont val="Calibri"/>
        <family val="2"/>
        <scheme val="minor"/>
      </rPr>
      <t>adjust the formula for the number of columns or rows that it has been moved. This is known as an absolute address.</t>
    </r>
  </si>
  <si>
    <t>Copy-Pasted Formula - Relative</t>
  </si>
  <si>
    <t>Copy-Pasted Formula - Absolute</t>
  </si>
  <si>
    <t>Names in Formulas</t>
  </si>
  <si>
    <t>You can assign nicknames to cells, and use these nicknames instead of the cell addresses in formulas.</t>
  </si>
  <si>
    <t>Right Click - Define Name</t>
  </si>
  <si>
    <t>Formulas - Defined Names</t>
  </si>
  <si>
    <t>My name is Miow</t>
  </si>
  <si>
    <t>The formula works whether we use the cell address or our nickname for the cell.</t>
  </si>
  <si>
    <t>LEFT(Miow,8)</t>
  </si>
  <si>
    <t>Use in conjunction with conditional formatting.</t>
  </si>
  <si>
    <t>Start typing to modify the contents of a cell (overwriting previous content).</t>
  </si>
  <si>
    <t>If you change the width of columns after activating text wrapping, click twice on "Wrap Text" to deactivate it and reactivate it. Height of rows will be recalculated.</t>
  </si>
  <si>
    <t>Use conditional formatting to reveal books published after 2020.</t>
  </si>
  <si>
    <t>Use a color filter to list together books published after 2020.</t>
  </si>
  <si>
    <t>hold shift and click-hold your mouse, move your cursor to where you want to move the row or column.</t>
  </si>
  <si>
    <t xml:space="preserve">To move a column or a row: click on the row number or column letter, move your cursor to the edge until it turns into a black cross, </t>
  </si>
  <si>
    <t>Part 1</t>
  </si>
  <si>
    <t>Part 2</t>
  </si>
  <si>
    <t>Open workook in multiple windows</t>
  </si>
  <si>
    <t>Open workbook in multiple windows</t>
  </si>
  <si>
    <t>Use New Window to open a workook in two locations simultaneously.</t>
  </si>
  <si>
    <t>This is wonderful when working with multiple speadsheets.</t>
  </si>
  <si>
    <t>Since this is two or more views of the exact same file, any updates you make will happen in all windows.</t>
  </si>
  <si>
    <t>In Windows, you can select “Arrange All” after creating a new window to automatically arrange your windows.</t>
  </si>
  <si>
    <r>
      <rPr>
        <b/>
        <sz val="12"/>
        <color rgb="FF00B050"/>
        <rFont val="Calibri"/>
        <family val="2"/>
        <scheme val="minor"/>
      </rPr>
      <t>=SUM</t>
    </r>
    <r>
      <rPr>
        <b/>
        <sz val="12"/>
        <color theme="1"/>
        <rFont val="Calibri"/>
        <family val="2"/>
        <scheme val="minor"/>
      </rPr>
      <t>(</t>
    </r>
    <r>
      <rPr>
        <b/>
        <sz val="12"/>
        <color theme="4" tint="-0.499984740745262"/>
        <rFont val="Calibri"/>
        <family val="2"/>
        <scheme val="minor"/>
      </rPr>
      <t>2</t>
    </r>
    <r>
      <rPr>
        <b/>
        <sz val="12"/>
        <color theme="1"/>
        <rFont val="Calibri"/>
        <family val="2"/>
        <scheme val="minor"/>
      </rPr>
      <t>,</t>
    </r>
    <r>
      <rPr>
        <b/>
        <sz val="12"/>
        <color theme="5" tint="-0.499984740745262"/>
        <rFont val="Calibri"/>
        <family val="2"/>
        <scheme val="minor"/>
      </rPr>
      <t>B25</t>
    </r>
    <r>
      <rPr>
        <b/>
        <sz val="12"/>
        <color theme="1"/>
        <rFont val="Calibri"/>
        <family val="2"/>
        <scheme val="minor"/>
      </rPr>
      <t>)</t>
    </r>
  </si>
  <si>
    <r>
      <t xml:space="preserve">However, as long as the content of a cell is of the type needed by the argument, </t>
    </r>
    <r>
      <rPr>
        <b/>
        <i/>
        <sz val="12"/>
        <color theme="1"/>
        <rFont val="Calibri"/>
        <family val="2"/>
        <scheme val="minor"/>
      </rPr>
      <t xml:space="preserve">formula arguments work with </t>
    </r>
    <r>
      <rPr>
        <b/>
        <i/>
        <sz val="12"/>
        <color theme="5" tint="-0.499984740745262"/>
        <rFont val="Calibri"/>
        <family val="2"/>
        <scheme val="minor"/>
      </rPr>
      <t>cell addresses</t>
    </r>
    <r>
      <rPr>
        <b/>
        <i/>
        <sz val="12"/>
        <color theme="1"/>
        <rFont val="Calibri"/>
        <family val="2"/>
        <scheme val="minor"/>
      </rPr>
      <t xml:space="preserve">. </t>
    </r>
    <r>
      <rPr>
        <i/>
        <sz val="12"/>
        <color theme="1"/>
        <rFont val="Calibri"/>
        <family val="2"/>
        <scheme val="minor"/>
      </rPr>
      <t>Here, cell B25 contains the number 1, so the formula adds 2 and 1. If the value located at a specified cell address changes, the formula results will automatically update!</t>
    </r>
  </si>
  <si>
    <r>
      <rPr>
        <b/>
        <sz val="12"/>
        <color rgb="FF00B050"/>
        <rFont val="Calibri"/>
        <family val="2"/>
        <scheme val="minor"/>
      </rPr>
      <t>=SUM</t>
    </r>
    <r>
      <rPr>
        <b/>
        <sz val="12"/>
        <color theme="1"/>
        <rFont val="Calibri"/>
        <family val="2"/>
        <scheme val="minor"/>
      </rPr>
      <t>(</t>
    </r>
    <r>
      <rPr>
        <b/>
        <sz val="12"/>
        <color theme="4" tint="-0.499984740745262"/>
        <rFont val="Calibri"/>
        <family val="2"/>
        <scheme val="minor"/>
      </rPr>
      <t>2</t>
    </r>
    <r>
      <rPr>
        <b/>
        <sz val="12"/>
        <color theme="1"/>
        <rFont val="Calibri"/>
        <family val="2"/>
        <scheme val="minor"/>
      </rPr>
      <t>,</t>
    </r>
    <r>
      <rPr>
        <b/>
        <sz val="12"/>
        <color theme="7" tint="-0.499984740745262"/>
        <rFont val="Calibri"/>
        <family val="2"/>
        <scheme val="minor"/>
      </rPr>
      <t>B25:B27</t>
    </r>
    <r>
      <rPr>
        <b/>
        <sz val="12"/>
        <color theme="1"/>
        <rFont val="Calibri"/>
        <family val="2"/>
        <scheme val="minor"/>
      </rPr>
      <t>)</t>
    </r>
  </si>
  <si>
    <r>
      <rPr>
        <i/>
        <sz val="12"/>
        <rFont val="Calibri"/>
        <family val="2"/>
        <scheme val="minor"/>
      </rPr>
      <t xml:space="preserve">As long as all the cells contain the right type of value, </t>
    </r>
    <r>
      <rPr>
        <b/>
        <i/>
        <sz val="12"/>
        <color theme="7" tint="-0.499984740745262"/>
        <rFont val="Calibri"/>
        <family val="2"/>
        <scheme val="minor"/>
      </rPr>
      <t xml:space="preserve">cell ranges </t>
    </r>
    <r>
      <rPr>
        <i/>
        <sz val="12"/>
        <color theme="1"/>
        <rFont val="Calibri"/>
        <family val="2"/>
        <scheme val="minor"/>
      </rPr>
      <t xml:space="preserve">can also be used in formula arguments. In this example, </t>
    </r>
    <r>
      <rPr>
        <b/>
        <i/>
        <sz val="12"/>
        <color theme="7" tint="-0.499984740745262"/>
        <rFont val="Calibri"/>
        <family val="2"/>
        <scheme val="minor"/>
      </rPr>
      <t>B25:B27</t>
    </r>
    <r>
      <rPr>
        <i/>
        <sz val="12"/>
        <color theme="1"/>
        <rFont val="Calibri"/>
        <family val="2"/>
        <scheme val="minor"/>
      </rPr>
      <t xml:space="preserve"> means "start at B25 and keep going until you reach B27". This means that the formula adds up 2, the contents of B25 (1), the contents of B26 (2), and the contents of B27 (3).</t>
    </r>
  </si>
  <si>
    <r>
      <rPr>
        <b/>
        <sz val="12"/>
        <color rgb="FF00B050"/>
        <rFont val="Calibri"/>
        <family val="2"/>
        <scheme val="minor"/>
      </rPr>
      <t>=LEFT</t>
    </r>
    <r>
      <rPr>
        <b/>
        <sz val="12"/>
        <color theme="8" tint="-0.499984740745262"/>
        <rFont val="Calibri"/>
        <family val="2"/>
        <scheme val="minor"/>
      </rPr>
      <t>("Wow"&amp;A37</t>
    </r>
    <r>
      <rPr>
        <sz val="12"/>
        <color theme="1"/>
        <rFont val="Calibri"/>
        <family val="2"/>
        <scheme val="minor"/>
      </rPr>
      <t>,</t>
    </r>
    <r>
      <rPr>
        <b/>
        <sz val="12"/>
        <color rgb="FF9933FF"/>
        <rFont val="Calibri"/>
        <family val="2"/>
        <scheme val="minor"/>
      </rPr>
      <t>sum(B25:B27)+1</t>
    </r>
    <r>
      <rPr>
        <sz val="12"/>
        <color theme="1"/>
        <rFont val="Calibri"/>
        <family val="2"/>
        <scheme val="minor"/>
      </rPr>
      <t>)</t>
    </r>
  </si>
  <si>
    <r>
      <t>For example, copying the formula in cell B108 (</t>
    </r>
    <r>
      <rPr>
        <i/>
        <sz val="12"/>
        <color theme="4" tint="-0.499984740745262"/>
        <rFont val="Calibri"/>
        <family val="2"/>
        <scheme val="minor"/>
      </rPr>
      <t>=A108</t>
    </r>
    <r>
      <rPr>
        <i/>
        <sz val="12"/>
        <color theme="1"/>
        <rFont val="Calibri"/>
        <family val="2"/>
        <scheme val="minor"/>
      </rPr>
      <t xml:space="preserve">) into the cells below will make the formula automatically jump rows: </t>
    </r>
    <r>
      <rPr>
        <i/>
        <sz val="12"/>
        <color theme="4" tint="-0.499984740745262"/>
        <rFont val="Calibri"/>
        <family val="2"/>
        <scheme val="minor"/>
      </rPr>
      <t>=A109</t>
    </r>
    <r>
      <rPr>
        <i/>
        <sz val="12"/>
        <color theme="1"/>
        <rFont val="Calibri"/>
        <family val="2"/>
        <scheme val="minor"/>
      </rPr>
      <t xml:space="preserve"> for B109, and </t>
    </r>
    <r>
      <rPr>
        <i/>
        <sz val="12"/>
        <color theme="4" tint="-0.499984740745262"/>
        <rFont val="Calibri"/>
        <family val="2"/>
        <scheme val="minor"/>
      </rPr>
      <t xml:space="preserve">=A110 </t>
    </r>
    <r>
      <rPr>
        <i/>
        <sz val="12"/>
        <color theme="1"/>
        <rFont val="Calibri"/>
        <family val="2"/>
        <scheme val="minor"/>
      </rPr>
      <t>for B110</t>
    </r>
  </si>
  <si>
    <t>Just remove the apostrophe to try it out!</t>
  </si>
  <si>
    <t>=A109</t>
  </si>
  <si>
    <t>=A110</t>
  </si>
  <si>
    <r>
      <t>For example, let's pretend we want to gradually expand the number of characters revealed in the word "</t>
    </r>
    <r>
      <rPr>
        <b/>
        <i/>
        <sz val="12"/>
        <color theme="8" tint="-0.499984740745262"/>
        <rFont val="Calibri"/>
        <family val="2"/>
        <scheme val="minor"/>
      </rPr>
      <t>Cat</t>
    </r>
    <r>
      <rPr>
        <i/>
        <sz val="12"/>
        <color theme="1"/>
        <rFont val="Calibri"/>
        <family val="2"/>
        <scheme val="minor"/>
      </rPr>
      <t xml:space="preserve">" in </t>
    </r>
    <r>
      <rPr>
        <b/>
        <i/>
        <sz val="12"/>
        <color theme="8" tint="-0.499984740745262"/>
        <rFont val="Calibri"/>
        <family val="2"/>
        <scheme val="minor"/>
      </rPr>
      <t xml:space="preserve">B139 </t>
    </r>
    <r>
      <rPr>
        <i/>
        <sz val="12"/>
        <rFont val="Calibri"/>
        <family val="2"/>
        <scheme val="minor"/>
      </rPr>
      <t>by using the numbers supplied in B140 to B142.</t>
    </r>
  </si>
  <si>
    <t>If we write our formula normally and copy-paste it, the location of the text (the first argument in the left function) moves down a row every time - not the behavior we wanted. Try double-clicking on B144, B145, and B146 to see what happened to the formula.</t>
  </si>
  <si>
    <r>
      <t>=LEFT(</t>
    </r>
    <r>
      <rPr>
        <b/>
        <sz val="12"/>
        <color theme="8" tint="-0.499984740745262"/>
        <rFont val="Calibri"/>
        <family val="2"/>
        <scheme val="minor"/>
      </rPr>
      <t>B139</t>
    </r>
    <r>
      <rPr>
        <sz val="12"/>
        <color theme="1"/>
        <rFont val="Calibri"/>
        <family val="2"/>
        <scheme val="minor"/>
      </rPr>
      <t>,</t>
    </r>
    <r>
      <rPr>
        <b/>
        <sz val="12"/>
        <color rgb="FFFFC000"/>
        <rFont val="Calibri"/>
        <family val="2"/>
        <scheme val="minor"/>
      </rPr>
      <t>B140</t>
    </r>
    <r>
      <rPr>
        <sz val="12"/>
        <color theme="1"/>
        <rFont val="Calibri"/>
        <family val="2"/>
        <scheme val="minor"/>
      </rPr>
      <t>)</t>
    </r>
  </si>
  <si>
    <r>
      <t>=LEFT(</t>
    </r>
    <r>
      <rPr>
        <b/>
        <sz val="12"/>
        <color rgb="FFFFC000"/>
        <rFont val="Calibri"/>
        <family val="2"/>
        <scheme val="minor"/>
      </rPr>
      <t>B140</t>
    </r>
    <r>
      <rPr>
        <sz val="12"/>
        <color theme="1"/>
        <rFont val="Calibri"/>
        <family val="2"/>
        <scheme val="minor"/>
      </rPr>
      <t>,</t>
    </r>
    <r>
      <rPr>
        <b/>
        <sz val="12"/>
        <color rgb="FF00B0F0"/>
        <rFont val="Calibri"/>
        <family val="2"/>
        <scheme val="minor"/>
      </rPr>
      <t>B141</t>
    </r>
    <r>
      <rPr>
        <sz val="12"/>
        <color theme="1"/>
        <rFont val="Calibri"/>
        <family val="2"/>
        <scheme val="minor"/>
      </rPr>
      <t>)</t>
    </r>
  </si>
  <si>
    <r>
      <t>=LEFT(</t>
    </r>
    <r>
      <rPr>
        <b/>
        <sz val="12"/>
        <color rgb="FF00B0F0"/>
        <rFont val="Calibri"/>
        <family val="2"/>
        <scheme val="minor"/>
      </rPr>
      <t>B141</t>
    </r>
    <r>
      <rPr>
        <sz val="12"/>
        <color theme="1"/>
        <rFont val="Calibri"/>
        <family val="2"/>
        <scheme val="minor"/>
      </rPr>
      <t>,</t>
    </r>
    <r>
      <rPr>
        <b/>
        <sz val="12"/>
        <color rgb="FF00B050"/>
        <rFont val="Calibri"/>
        <family val="2"/>
        <scheme val="minor"/>
      </rPr>
      <t>B142</t>
    </r>
    <r>
      <rPr>
        <sz val="12"/>
        <color theme="1"/>
        <rFont val="Calibri"/>
        <family val="2"/>
        <scheme val="minor"/>
      </rPr>
      <t>)</t>
    </r>
  </si>
  <si>
    <t>If instead we use the "$" symbol before the column and row of the location of the text, the formula will correctly refer to B139 for the text argument even when copy-pasted. Try clicking on B148, B149 and B150 to see what happened to the formula.</t>
  </si>
  <si>
    <r>
      <t>=LEFT(</t>
    </r>
    <r>
      <rPr>
        <b/>
        <sz val="12"/>
        <color theme="8" tint="-0.499984740745262"/>
        <rFont val="Calibri"/>
        <family val="2"/>
        <scheme val="minor"/>
      </rPr>
      <t>$B$139</t>
    </r>
    <r>
      <rPr>
        <sz val="12"/>
        <color theme="1"/>
        <rFont val="Calibri"/>
        <family val="2"/>
        <scheme val="minor"/>
      </rPr>
      <t>,</t>
    </r>
    <r>
      <rPr>
        <b/>
        <sz val="12"/>
        <color rgb="FFFFC000"/>
        <rFont val="Calibri"/>
        <family val="2"/>
        <scheme val="minor"/>
      </rPr>
      <t>B140</t>
    </r>
    <r>
      <rPr>
        <sz val="12"/>
        <color theme="1"/>
        <rFont val="Calibri"/>
        <family val="2"/>
        <scheme val="minor"/>
      </rPr>
      <t>)</t>
    </r>
  </si>
  <si>
    <r>
      <t>=LEFT(</t>
    </r>
    <r>
      <rPr>
        <b/>
        <sz val="12"/>
        <color theme="8" tint="-0.499984740745262"/>
        <rFont val="Calibri"/>
        <family val="2"/>
        <scheme val="minor"/>
      </rPr>
      <t>$B$139</t>
    </r>
    <r>
      <rPr>
        <sz val="12"/>
        <color theme="1"/>
        <rFont val="Calibri"/>
        <family val="2"/>
        <scheme val="minor"/>
      </rPr>
      <t>,</t>
    </r>
    <r>
      <rPr>
        <b/>
        <sz val="12"/>
        <color rgb="FF00B0F0"/>
        <rFont val="Calibri"/>
        <family val="2"/>
        <scheme val="minor"/>
      </rPr>
      <t>B141</t>
    </r>
    <r>
      <rPr>
        <sz val="12"/>
        <color theme="1"/>
        <rFont val="Calibri"/>
        <family val="2"/>
        <scheme val="minor"/>
      </rPr>
      <t>)</t>
    </r>
  </si>
  <si>
    <r>
      <t>=LEFT(</t>
    </r>
    <r>
      <rPr>
        <b/>
        <sz val="12"/>
        <color theme="8" tint="-0.499984740745262"/>
        <rFont val="Calibri"/>
        <family val="2"/>
        <scheme val="minor"/>
      </rPr>
      <t>$B$139</t>
    </r>
    <r>
      <rPr>
        <sz val="12"/>
        <color theme="1"/>
        <rFont val="Calibri"/>
        <family val="2"/>
        <scheme val="minor"/>
      </rPr>
      <t>,</t>
    </r>
    <r>
      <rPr>
        <b/>
        <sz val="12"/>
        <color rgb="FF00B050"/>
        <rFont val="Calibri"/>
        <family val="2"/>
        <scheme val="minor"/>
      </rPr>
      <t>B142</t>
    </r>
    <r>
      <rPr>
        <sz val="12"/>
        <color theme="1"/>
        <rFont val="Calibri"/>
        <family val="2"/>
        <scheme val="minor"/>
      </rPr>
      <t>)</t>
    </r>
  </si>
  <si>
    <t>Type a name besides the formula bar where the cell address shows up</t>
  </si>
  <si>
    <t>For example, we've assigned the name "Miow" to cell A165.</t>
  </si>
  <si>
    <t>LEFT(A165,8)</t>
  </si>
  <si>
    <t>Last updated</t>
  </si>
  <si>
    <t>April 2024</t>
  </si>
  <si>
    <t>Copyright, usage, licenses</t>
  </si>
  <si>
    <t>This Excel file is shared under CC BY-NC 4.0</t>
  </si>
  <si>
    <t>CC BY-NC 4.0 link</t>
  </si>
  <si>
    <t>https://creativecommons.org/licenses/by-nc/4.0/</t>
  </si>
  <si>
    <t>Although you are not required to do so, if you decide to use this material to present, or you adapt it and redistribute it, I would appreciate an email at julie.marcoux@dal.ca so that I can mention it in my annual report.</t>
  </si>
  <si>
    <t>julie.marcoux@dal.ca</t>
  </si>
  <si>
    <t>Who put this Excel file together?</t>
  </si>
  <si>
    <t>Julie Marcoux, Data Librarian and GIS &amp; Data Coordinator, Dalhousie University</t>
  </si>
  <si>
    <t>Profile link (has contact info)</t>
  </si>
  <si>
    <t>https://dal.ca.libguides.com/prf.php?account_id=53640</t>
  </si>
  <si>
    <t>Worksheets</t>
  </si>
  <si>
    <t>Description</t>
  </si>
  <si>
    <t>Useful Features</t>
  </si>
  <si>
    <t>Explanations and screenshots about navigating and selecting, cell formats, conditional formatting, sorting, filtering, and printing</t>
  </si>
  <si>
    <t>Instructions on features to apply, in order, to the Exercise spreadsheet to make it look more like the Results spreadsheet.</t>
  </si>
  <si>
    <t>Exercise</t>
  </si>
  <si>
    <t>List of books used for hands-on exercise. Follow the instructions from the instructions spreadsheet to transform into something that looks like the Results spreadsheet.</t>
  </si>
  <si>
    <t>Beautifully formatted list of books. Apply the instructions in the instructions spreadsheet to the exercise spreadsheet to achieve a similar result.</t>
  </si>
  <si>
    <t>Example Result</t>
  </si>
  <si>
    <t>Easy Excel Workshop File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</si>
</sst>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40" x14ac:knownFonts="1">
    <font>
      <sz val="11"/>
      <color theme="1"/>
      <name val="Calibri"/>
      <family val="2"/>
      <scheme val="minor"/>
    </font>
    <font>
      <b/>
      <sz val="11"/>
      <color theme="1"/>
      <name val="Calibri"/>
      <family val="2"/>
      <scheme val="minor"/>
    </font>
    <font>
      <u/>
      <sz val="11"/>
      <color theme="10"/>
      <name val="Calibri"/>
      <family val="2"/>
      <scheme val="minor"/>
    </font>
    <font>
      <b/>
      <sz val="24"/>
      <color theme="1"/>
      <name val="Calibri"/>
      <family val="2"/>
      <scheme val="minor"/>
    </font>
    <font>
      <b/>
      <sz val="18"/>
      <color theme="1"/>
      <name val="Calibri"/>
      <family val="2"/>
      <scheme val="minor"/>
    </font>
    <font>
      <sz val="18"/>
      <color theme="1"/>
      <name val="Calibri"/>
      <family val="2"/>
      <scheme val="minor"/>
    </font>
    <font>
      <i/>
      <sz val="11"/>
      <color theme="1"/>
      <name val="Calibri"/>
      <family val="2"/>
      <scheme val="minor"/>
    </font>
    <font>
      <b/>
      <i/>
      <sz val="11"/>
      <color theme="1"/>
      <name val="Calibri"/>
      <family val="2"/>
      <scheme val="minor"/>
    </font>
    <font>
      <b/>
      <sz val="12"/>
      <color theme="1"/>
      <name val="Calibri"/>
      <family val="2"/>
      <scheme val="minor"/>
    </font>
    <font>
      <i/>
      <sz val="12"/>
      <color theme="1"/>
      <name val="Calibri"/>
      <family val="2"/>
      <scheme val="minor"/>
    </font>
    <font>
      <sz val="11"/>
      <color theme="6" tint="-0.499984740745262"/>
      <name val="Calibri"/>
      <family val="2"/>
      <scheme val="minor"/>
    </font>
    <font>
      <sz val="11"/>
      <name val="Calibri"/>
      <family val="2"/>
      <scheme val="minor"/>
    </font>
    <font>
      <b/>
      <sz val="11"/>
      <name val="Calibri"/>
      <family val="2"/>
      <scheme val="minor"/>
    </font>
    <font>
      <sz val="12"/>
      <color theme="1"/>
      <name val="Calibri"/>
      <family val="2"/>
      <scheme val="minor"/>
    </font>
    <font>
      <sz val="24"/>
      <color theme="1"/>
      <name val="Calibri"/>
      <family val="2"/>
      <scheme val="minor"/>
    </font>
    <font>
      <sz val="12"/>
      <name val="Calibri"/>
      <family val="2"/>
      <scheme val="minor"/>
    </font>
    <font>
      <b/>
      <sz val="12"/>
      <name val="Calibri"/>
      <family val="2"/>
      <scheme val="minor"/>
    </font>
    <font>
      <u/>
      <sz val="12"/>
      <color theme="10"/>
      <name val="Calibri"/>
      <family val="2"/>
      <scheme val="minor"/>
    </font>
    <font>
      <b/>
      <i/>
      <sz val="12"/>
      <color theme="1"/>
      <name val="Calibri"/>
      <family val="2"/>
      <scheme val="minor"/>
    </font>
    <font>
      <b/>
      <i/>
      <sz val="12"/>
      <color rgb="FF00B050"/>
      <name val="Calibri"/>
      <family val="2"/>
      <scheme val="minor"/>
    </font>
    <font>
      <b/>
      <sz val="12"/>
      <color rgb="FF00B050"/>
      <name val="Calibri"/>
      <family val="2"/>
      <scheme val="minor"/>
    </font>
    <font>
      <b/>
      <i/>
      <sz val="12"/>
      <color theme="4" tint="-0.499984740745262"/>
      <name val="Calibri"/>
      <family val="2"/>
      <scheme val="minor"/>
    </font>
    <font>
      <b/>
      <sz val="12"/>
      <color theme="4" tint="-0.499984740745262"/>
      <name val="Calibri"/>
      <family val="2"/>
      <scheme val="minor"/>
    </font>
    <font>
      <b/>
      <sz val="12"/>
      <color theme="5" tint="-0.499984740745262"/>
      <name val="Calibri"/>
      <family val="2"/>
      <scheme val="minor"/>
    </font>
    <font>
      <b/>
      <i/>
      <sz val="12"/>
      <color theme="5" tint="-0.499984740745262"/>
      <name val="Calibri"/>
      <family val="2"/>
      <scheme val="minor"/>
    </font>
    <font>
      <b/>
      <sz val="12"/>
      <color theme="7" tint="-0.499984740745262"/>
      <name val="Calibri"/>
      <family val="2"/>
      <scheme val="minor"/>
    </font>
    <font>
      <i/>
      <sz val="12"/>
      <name val="Calibri"/>
      <family val="2"/>
      <scheme val="minor"/>
    </font>
    <font>
      <b/>
      <i/>
      <sz val="12"/>
      <color theme="7" tint="-0.499984740745262"/>
      <name val="Calibri"/>
      <family val="2"/>
      <scheme val="minor"/>
    </font>
    <font>
      <b/>
      <sz val="12"/>
      <color theme="8" tint="-0.499984740745262"/>
      <name val="Calibri"/>
      <family val="2"/>
      <scheme val="minor"/>
    </font>
    <font>
      <b/>
      <i/>
      <sz val="12"/>
      <color theme="8" tint="-0.499984740745262"/>
      <name val="Calibri"/>
      <family val="2"/>
      <scheme val="minor"/>
    </font>
    <font>
      <b/>
      <sz val="12"/>
      <color rgb="FF9933FF"/>
      <name val="Calibri"/>
      <family val="2"/>
      <scheme val="minor"/>
    </font>
    <font>
      <b/>
      <i/>
      <sz val="12"/>
      <color rgb="FF7030A0"/>
      <name val="Calibri"/>
      <family val="2"/>
      <scheme val="minor"/>
    </font>
    <font>
      <i/>
      <sz val="12"/>
      <color theme="4" tint="-0.499984740745262"/>
      <name val="Calibri"/>
      <family val="2"/>
      <scheme val="minor"/>
    </font>
    <font>
      <b/>
      <sz val="12"/>
      <color rgb="FFFF9933"/>
      <name val="Calibri"/>
      <family val="2"/>
      <scheme val="minor"/>
    </font>
    <font>
      <b/>
      <sz val="12"/>
      <color rgb="FF00B0F0"/>
      <name val="Calibri"/>
      <family val="2"/>
      <scheme val="minor"/>
    </font>
    <font>
      <b/>
      <sz val="12"/>
      <color rgb="FFFFC000"/>
      <name val="Calibri"/>
      <family val="2"/>
      <scheme val="minor"/>
    </font>
    <font>
      <b/>
      <sz val="14"/>
      <color theme="1"/>
      <name val="Calibri"/>
      <family val="2"/>
      <scheme val="minor"/>
    </font>
    <font>
      <sz val="11"/>
      <color theme="0" tint="-0.499984740745262"/>
      <name val="Calibri"/>
      <family val="2"/>
      <scheme val="minor"/>
    </font>
    <font>
      <b/>
      <sz val="15"/>
      <color theme="3"/>
      <name val="Calibri"/>
      <family val="2"/>
      <scheme val="minor"/>
    </font>
    <font>
      <sz val="18"/>
      <color theme="3"/>
      <name val="Cambria"/>
      <family val="2"/>
      <scheme val="major"/>
    </font>
  </fonts>
  <fills count="6">
    <fill>
      <patternFill patternType="none"/>
    </fill>
    <fill>
      <patternFill patternType="gray125"/>
    </fill>
    <fill>
      <patternFill patternType="solid">
        <fgColor theme="7" tint="0.39997558519241921"/>
        <bgColor indexed="64"/>
      </patternFill>
    </fill>
    <fill>
      <patternFill patternType="solid">
        <fgColor theme="6" tint="0.59999389629810485"/>
        <bgColor indexed="64"/>
      </patternFill>
    </fill>
    <fill>
      <patternFill patternType="solid">
        <fgColor theme="3" tint="0.59999389629810485"/>
        <bgColor indexed="64"/>
      </patternFill>
    </fill>
    <fill>
      <patternFill patternType="solid">
        <fgColor rgb="FFB1A0C7"/>
        <bgColor indexed="64"/>
      </patternFill>
    </fill>
  </fills>
  <borders count="12">
    <border>
      <left/>
      <right/>
      <top/>
      <bottom/>
      <diagonal/>
    </border>
    <border>
      <left/>
      <right/>
      <top style="thin">
        <color auto="1"/>
      </top>
      <bottom/>
      <diagonal/>
    </border>
    <border>
      <left style="thin">
        <color auto="1"/>
      </left>
      <right style="thin">
        <color auto="1"/>
      </right>
      <top style="thin">
        <color auto="1"/>
      </top>
      <bottom style="thin">
        <color auto="1"/>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n">
        <color auto="1"/>
      </left>
      <right style="thick">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ck">
        <color auto="1"/>
      </right>
      <top style="thin">
        <color auto="1"/>
      </top>
      <bottom style="thin">
        <color auto="1"/>
      </bottom>
      <diagonal/>
    </border>
    <border>
      <left style="thick">
        <color auto="1"/>
      </left>
      <right style="thin">
        <color auto="1"/>
      </right>
      <top style="thin">
        <color auto="1"/>
      </top>
      <bottom style="thick">
        <color auto="1"/>
      </bottom>
      <diagonal/>
    </border>
    <border>
      <left style="thin">
        <color auto="1"/>
      </left>
      <right style="thin">
        <color auto="1"/>
      </right>
      <top style="thin">
        <color auto="1"/>
      </top>
      <bottom style="thick">
        <color auto="1"/>
      </bottom>
      <diagonal/>
    </border>
    <border>
      <left style="thin">
        <color auto="1"/>
      </left>
      <right style="thick">
        <color auto="1"/>
      </right>
      <top style="thin">
        <color auto="1"/>
      </top>
      <bottom style="thick">
        <color auto="1"/>
      </bottom>
      <diagonal/>
    </border>
    <border>
      <left/>
      <right/>
      <top/>
      <bottom style="thick">
        <color theme="4"/>
      </bottom>
      <diagonal/>
    </border>
  </borders>
  <cellStyleXfs count="4">
    <xf numFmtId="0" fontId="0" fillId="0" borderId="0"/>
    <xf numFmtId="0" fontId="2" fillId="0" borderId="0" applyNumberFormat="0" applyFill="0" applyBorder="0" applyAlignment="0" applyProtection="0"/>
    <xf numFmtId="0" fontId="38" fillId="0" borderId="11" applyNumberFormat="0" applyFill="0" applyAlignment="0" applyProtection="0"/>
    <xf numFmtId="0" fontId="39" fillId="0" borderId="0" applyNumberFormat="0" applyFill="0" applyBorder="0" applyAlignment="0" applyProtection="0"/>
  </cellStyleXfs>
  <cellXfs count="99">
    <xf numFmtId="0" fontId="0" fillId="0" borderId="0" xfId="0"/>
    <xf numFmtId="0" fontId="0" fillId="0" borderId="0" xfId="0" applyAlignment="1">
      <alignment vertical="center"/>
    </xf>
    <xf numFmtId="0" fontId="0" fillId="0" borderId="0" xfId="0" applyAlignment="1">
      <alignment horizontal="right"/>
    </xf>
    <xf numFmtId="0" fontId="0" fillId="0" borderId="0" xfId="0" applyAlignment="1">
      <alignment horizontal="center" vertical="center"/>
    </xf>
    <xf numFmtId="0" fontId="0" fillId="2" borderId="0" xfId="0" applyFill="1" applyAlignment="1">
      <alignment horizontal="right"/>
    </xf>
    <xf numFmtId="0" fontId="0" fillId="2" borderId="0" xfId="0" applyFill="1" applyAlignment="1">
      <alignment vertical="center"/>
    </xf>
    <xf numFmtId="0" fontId="0" fillId="2" borderId="0" xfId="0" applyFill="1"/>
    <xf numFmtId="0" fontId="0" fillId="0" borderId="1" xfId="0" applyBorder="1" applyAlignment="1">
      <alignment horizontal="right"/>
    </xf>
    <xf numFmtId="0" fontId="1" fillId="0" borderId="1" xfId="0" applyFont="1" applyBorder="1" applyAlignment="1">
      <alignment horizontal="center"/>
    </xf>
    <xf numFmtId="0" fontId="0" fillId="0" borderId="1" xfId="0" applyBorder="1"/>
    <xf numFmtId="0" fontId="2" fillId="0" borderId="0" xfId="1" applyAlignment="1">
      <alignment horizontal="left"/>
    </xf>
    <xf numFmtId="0" fontId="2" fillId="0" borderId="0" xfId="1" applyAlignment="1">
      <alignment horizontal="left" vertical="top"/>
    </xf>
    <xf numFmtId="0" fontId="0" fillId="0" borderId="0" xfId="0" applyAlignment="1">
      <alignment vertical="top"/>
    </xf>
    <xf numFmtId="0" fontId="1" fillId="0" borderId="0" xfId="0" applyFont="1"/>
    <xf numFmtId="0" fontId="6" fillId="0" borderId="0" xfId="0" applyFont="1" applyAlignment="1">
      <alignment horizontal="left"/>
    </xf>
    <xf numFmtId="0" fontId="0" fillId="0" borderId="0" xfId="0" quotePrefix="1"/>
    <xf numFmtId="0" fontId="6" fillId="0" borderId="0" xfId="0" applyFont="1"/>
    <xf numFmtId="0" fontId="6" fillId="0" borderId="0" xfId="0" applyFont="1" applyAlignment="1">
      <alignment horizontal="center"/>
    </xf>
    <xf numFmtId="0" fontId="0" fillId="0" borderId="0" xfId="0" applyAlignment="1">
      <alignment horizontal="right" vertical="center"/>
    </xf>
    <xf numFmtId="0" fontId="6" fillId="0" borderId="0" xfId="0" applyFont="1" applyAlignment="1">
      <alignment vertical="center"/>
    </xf>
    <xf numFmtId="0" fontId="1" fillId="0" borderId="0" xfId="0" applyFont="1" applyAlignment="1">
      <alignment horizontal="center"/>
    </xf>
    <xf numFmtId="0" fontId="6" fillId="0" borderId="0" xfId="0" quotePrefix="1" applyFont="1"/>
    <xf numFmtId="0" fontId="9" fillId="0" borderId="0" xfId="0" applyFont="1" applyAlignment="1">
      <alignment horizontal="center"/>
    </xf>
    <xf numFmtId="0" fontId="0" fillId="0" borderId="2" xfId="0" applyBorder="1" applyAlignment="1">
      <alignment horizontal="left" vertical="center" wrapText="1"/>
    </xf>
    <xf numFmtId="0" fontId="0" fillId="0" borderId="0" xfId="0" applyAlignment="1">
      <alignment horizontal="center"/>
    </xf>
    <xf numFmtId="0" fontId="10" fillId="0" borderId="0" xfId="0" applyFont="1" applyAlignment="1">
      <alignment horizontal="center"/>
    </xf>
    <xf numFmtId="0" fontId="8" fillId="3" borderId="0" xfId="0" applyFont="1" applyFill="1" applyAlignment="1">
      <alignment horizontal="center"/>
    </xf>
    <xf numFmtId="14" fontId="0" fillId="0" borderId="0" xfId="0" applyNumberFormat="1"/>
    <xf numFmtId="0" fontId="8" fillId="0" borderId="0" xfId="0" applyFont="1" applyAlignment="1">
      <alignment horizontal="center" vertical="center" wrapText="1"/>
    </xf>
    <xf numFmtId="14" fontId="0" fillId="0" borderId="7" xfId="0" applyNumberFormat="1" applyBorder="1" applyAlignment="1">
      <alignment horizontal="left" vertical="center" wrapText="1"/>
    </xf>
    <xf numFmtId="0" fontId="0" fillId="0" borderId="0" xfId="0" applyAlignment="1">
      <alignment vertical="center" wrapText="1"/>
    </xf>
    <xf numFmtId="0" fontId="0" fillId="0" borderId="9" xfId="0" applyBorder="1" applyAlignment="1">
      <alignment horizontal="left" vertical="center" wrapText="1"/>
    </xf>
    <xf numFmtId="14" fontId="0" fillId="0" borderId="10" xfId="0" applyNumberFormat="1" applyBorder="1" applyAlignment="1">
      <alignment horizontal="left" vertical="center" wrapText="1"/>
    </xf>
    <xf numFmtId="0" fontId="8" fillId="4" borderId="4" xfId="0" applyFont="1" applyFill="1" applyBorder="1" applyAlignment="1">
      <alignment horizontal="center" vertical="center" wrapText="1"/>
    </xf>
    <xf numFmtId="0" fontId="8" fillId="4" borderId="5" xfId="0" applyFont="1" applyFill="1" applyBorder="1" applyAlignment="1">
      <alignment horizontal="center" vertical="center" wrapText="1"/>
    </xf>
    <xf numFmtId="1" fontId="8" fillId="4" borderId="3" xfId="0" applyNumberFormat="1" applyFont="1" applyFill="1" applyBorder="1" applyAlignment="1">
      <alignment horizontal="center" vertical="center" wrapText="1"/>
    </xf>
    <xf numFmtId="1" fontId="0" fillId="0" borderId="6" xfId="0" applyNumberFormat="1" applyBorder="1" applyAlignment="1">
      <alignment horizontal="left" vertical="center" wrapText="1"/>
    </xf>
    <xf numFmtId="1" fontId="0" fillId="0" borderId="8" xfId="0" applyNumberFormat="1" applyBorder="1" applyAlignment="1">
      <alignment horizontal="left" vertical="center" wrapText="1"/>
    </xf>
    <xf numFmtId="1" fontId="0" fillId="0" borderId="0" xfId="0" applyNumberFormat="1" applyAlignment="1">
      <alignment vertical="center" wrapText="1"/>
    </xf>
    <xf numFmtId="164" fontId="0" fillId="0" borderId="0" xfId="0" applyNumberFormat="1" applyAlignment="1">
      <alignment vertical="center" wrapText="1"/>
    </xf>
    <xf numFmtId="164" fontId="8" fillId="4" borderId="4" xfId="0" applyNumberFormat="1" applyFont="1" applyFill="1" applyBorder="1" applyAlignment="1">
      <alignment horizontal="center" vertical="center" wrapText="1"/>
    </xf>
    <xf numFmtId="164" fontId="0" fillId="0" borderId="2" xfId="0" applyNumberFormat="1" applyBorder="1" applyAlignment="1">
      <alignment horizontal="left" vertical="center" wrapText="1"/>
    </xf>
    <xf numFmtId="164" fontId="0" fillId="0" borderId="9" xfId="0" applyNumberFormat="1" applyBorder="1" applyAlignment="1">
      <alignment horizontal="left" vertical="center" wrapText="1"/>
    </xf>
    <xf numFmtId="0" fontId="13" fillId="5" borderId="0" xfId="0" applyFont="1" applyFill="1" applyAlignment="1">
      <alignment horizontal="right" vertical="center"/>
    </xf>
    <xf numFmtId="0" fontId="13" fillId="5" borderId="0" xfId="0" applyFont="1" applyFill="1" applyAlignment="1">
      <alignment horizontal="center" vertical="center"/>
    </xf>
    <xf numFmtId="49" fontId="9" fillId="5" borderId="0" xfId="0" applyNumberFormat="1" applyFont="1" applyFill="1" applyAlignment="1">
      <alignment vertical="center" wrapText="1"/>
    </xf>
    <xf numFmtId="0" fontId="0" fillId="5" borderId="0" xfId="0" applyFill="1"/>
    <xf numFmtId="0" fontId="13" fillId="0" borderId="0" xfId="0" applyFont="1" applyAlignment="1">
      <alignment horizontal="right" vertical="center"/>
    </xf>
    <xf numFmtId="0" fontId="15" fillId="0" borderId="0" xfId="1" applyFont="1" applyAlignment="1">
      <alignment horizontal="center" vertical="center"/>
    </xf>
    <xf numFmtId="0" fontId="15" fillId="0" borderId="0" xfId="1" applyFont="1" applyAlignment="1">
      <alignment horizontal="left" vertical="center"/>
    </xf>
    <xf numFmtId="0" fontId="17" fillId="0" borderId="0" xfId="1" applyFont="1" applyAlignment="1">
      <alignment horizontal="center" vertical="center"/>
    </xf>
    <xf numFmtId="0" fontId="2" fillId="0" borderId="0" xfId="1" applyAlignment="1">
      <alignment horizontal="left" vertical="center"/>
    </xf>
    <xf numFmtId="0" fontId="13" fillId="0" borderId="0" xfId="0" applyFont="1" applyAlignment="1">
      <alignment horizontal="center" vertical="center"/>
    </xf>
    <xf numFmtId="49" fontId="9" fillId="0" borderId="0" xfId="0" applyNumberFormat="1" applyFont="1" applyAlignment="1">
      <alignment vertical="center" wrapText="1"/>
    </xf>
    <xf numFmtId="0" fontId="13" fillId="0" borderId="1" xfId="0" applyFont="1" applyBorder="1" applyAlignment="1">
      <alignment horizontal="right" vertical="center"/>
    </xf>
    <xf numFmtId="0" fontId="13" fillId="0" borderId="1" xfId="0" applyFont="1" applyBorder="1" applyAlignment="1">
      <alignment horizontal="center" vertical="center"/>
    </xf>
    <xf numFmtId="49" fontId="4" fillId="0" borderId="1" xfId="0" applyNumberFormat="1" applyFont="1" applyBorder="1" applyAlignment="1">
      <alignment horizontal="left" wrapText="1"/>
    </xf>
    <xf numFmtId="49" fontId="18" fillId="0" borderId="0" xfId="0" applyNumberFormat="1" applyFont="1" applyAlignment="1">
      <alignment horizontal="center" wrapText="1"/>
    </xf>
    <xf numFmtId="0" fontId="8" fillId="0" borderId="0" xfId="0" applyFont="1" applyAlignment="1">
      <alignment horizontal="right" vertical="center"/>
    </xf>
    <xf numFmtId="0" fontId="8" fillId="0" borderId="0" xfId="0" applyFont="1" applyAlignment="1">
      <alignment horizontal="center" vertical="center"/>
    </xf>
    <xf numFmtId="49" fontId="9" fillId="0" borderId="0" xfId="0" applyNumberFormat="1" applyFont="1" applyAlignment="1">
      <alignment horizontal="left" vertical="center" wrapText="1"/>
    </xf>
    <xf numFmtId="0" fontId="13" fillId="0" borderId="0" xfId="0" quotePrefix="1" applyFont="1" applyAlignment="1">
      <alignment horizontal="right" vertical="center"/>
    </xf>
    <xf numFmtId="0" fontId="13" fillId="0" borderId="0" xfId="0" quotePrefix="1" applyFont="1" applyAlignment="1">
      <alignment horizontal="center" vertical="center"/>
    </xf>
    <xf numFmtId="0" fontId="8" fillId="0" borderId="0" xfId="0" quotePrefix="1" applyFont="1" applyAlignment="1">
      <alignment horizontal="right" vertical="center"/>
    </xf>
    <xf numFmtId="49" fontId="4" fillId="0" borderId="0" xfId="0" applyNumberFormat="1" applyFont="1" applyAlignment="1">
      <alignment horizontal="left" wrapText="1"/>
    </xf>
    <xf numFmtId="0" fontId="2" fillId="0" borderId="1" xfId="1" applyBorder="1"/>
    <xf numFmtId="0" fontId="15" fillId="0" borderId="0" xfId="0" applyFont="1" applyAlignment="1">
      <alignment horizontal="center" vertical="center"/>
    </xf>
    <xf numFmtId="49" fontId="9" fillId="0" borderId="0" xfId="0" applyNumberFormat="1" applyFont="1" applyAlignment="1">
      <alignment horizontal="left" wrapText="1"/>
    </xf>
    <xf numFmtId="49" fontId="9" fillId="0" borderId="0" xfId="0" applyNumberFormat="1" applyFont="1" applyAlignment="1">
      <alignment wrapText="1"/>
    </xf>
    <xf numFmtId="49" fontId="18" fillId="0" borderId="0" xfId="0" applyNumberFormat="1" applyFont="1" applyAlignment="1">
      <alignment wrapText="1"/>
    </xf>
    <xf numFmtId="49" fontId="9" fillId="0" borderId="0" xfId="0" applyNumberFormat="1" applyFont="1" applyAlignment="1">
      <alignment vertical="top" wrapText="1"/>
    </xf>
    <xf numFmtId="0" fontId="0" fillId="0" borderId="0" xfId="0" applyAlignment="1">
      <alignment wrapText="1"/>
    </xf>
    <xf numFmtId="49" fontId="8" fillId="0" borderId="0" xfId="0" applyNumberFormat="1" applyFont="1" applyAlignment="1">
      <alignment wrapText="1"/>
    </xf>
    <xf numFmtId="0" fontId="15" fillId="0" borderId="0" xfId="0" quotePrefix="1" applyFont="1" applyAlignment="1">
      <alignment horizontal="right" vertical="center"/>
    </xf>
    <xf numFmtId="0" fontId="22" fillId="0" borderId="0" xfId="0" quotePrefix="1" applyFont="1" applyAlignment="1">
      <alignment horizontal="right" vertical="center"/>
    </xf>
    <xf numFmtId="0" fontId="22" fillId="0" borderId="0" xfId="0" applyFont="1" applyAlignment="1">
      <alignment horizontal="center" vertical="center"/>
    </xf>
    <xf numFmtId="0" fontId="33" fillId="0" borderId="0" xfId="0" applyFont="1" applyAlignment="1">
      <alignment horizontal="center" vertical="center"/>
    </xf>
    <xf numFmtId="0" fontId="34" fillId="0" borderId="0" xfId="0" applyFont="1" applyAlignment="1">
      <alignment horizontal="center" vertical="center"/>
    </xf>
    <xf numFmtId="0" fontId="20" fillId="0" borderId="0" xfId="0" applyFont="1" applyAlignment="1">
      <alignment horizontal="center" vertical="center"/>
    </xf>
    <xf numFmtId="0" fontId="1" fillId="0" borderId="0" xfId="0" applyFont="1" applyAlignment="1">
      <alignment wrapText="1"/>
    </xf>
    <xf numFmtId="0" fontId="36" fillId="3" borderId="0" xfId="0" applyFont="1" applyFill="1" applyAlignment="1">
      <alignment horizontal="center"/>
    </xf>
    <xf numFmtId="0" fontId="37" fillId="0" borderId="0" xfId="0" applyFont="1" applyAlignment="1">
      <alignment horizontal="center"/>
    </xf>
    <xf numFmtId="0" fontId="38" fillId="0" borderId="11" xfId="2"/>
    <xf numFmtId="49" fontId="0" fillId="0" borderId="0" xfId="0" applyNumberFormat="1" applyAlignment="1">
      <alignment wrapText="1"/>
    </xf>
    <xf numFmtId="0" fontId="38" fillId="0" borderId="11" xfId="2" applyAlignment="1">
      <alignment wrapText="1"/>
    </xf>
    <xf numFmtId="0" fontId="2" fillId="0" borderId="0" xfId="1" applyAlignment="1">
      <alignment wrapText="1"/>
    </xf>
    <xf numFmtId="0" fontId="2" fillId="0" borderId="0" xfId="1"/>
    <xf numFmtId="0" fontId="39" fillId="0" borderId="0" xfId="3"/>
    <xf numFmtId="0" fontId="2" fillId="0" borderId="0" xfId="1" applyAlignment="1">
      <alignment horizontal="center"/>
    </xf>
    <xf numFmtId="0" fontId="0" fillId="0" borderId="0" xfId="0"/>
    <xf numFmtId="0" fontId="4" fillId="0" borderId="0" xfId="0" applyFont="1" applyAlignment="1">
      <alignment horizontal="center" vertical="center"/>
    </xf>
    <xf numFmtId="0" fontId="5" fillId="0" borderId="0" xfId="0" applyFont="1"/>
    <xf numFmtId="0" fontId="2" fillId="0" borderId="0" xfId="1" applyAlignment="1">
      <alignment horizontal="center" vertical="center"/>
    </xf>
    <xf numFmtId="0" fontId="3" fillId="0" borderId="0" xfId="0" applyFont="1" applyAlignment="1">
      <alignment horizontal="center" vertical="center"/>
    </xf>
    <xf numFmtId="0" fontId="11" fillId="0" borderId="0" xfId="1" applyFont="1" applyAlignment="1">
      <alignment horizontal="center" vertical="center"/>
    </xf>
    <xf numFmtId="0" fontId="11" fillId="0" borderId="0" xfId="0" applyFont="1" applyAlignment="1">
      <alignment horizontal="center"/>
    </xf>
    <xf numFmtId="0" fontId="14" fillId="0" borderId="0" xfId="0" applyFont="1"/>
    <xf numFmtId="0" fontId="13" fillId="0" borderId="0" xfId="0" applyFont="1" applyAlignment="1">
      <alignment horizontal="right" vertical="center"/>
    </xf>
    <xf numFmtId="0" fontId="0" fillId="0" borderId="0" xfId="0" applyAlignment="1">
      <alignment vertical="center"/>
    </xf>
  </cellXfs>
  <cellStyles count="4">
    <cellStyle name="Heading 1" xfId="2" builtinId="16"/>
    <cellStyle name="Hyperlink" xfId="1" builtinId="8"/>
    <cellStyle name="Normal" xfId="0" builtinId="0"/>
    <cellStyle name="Title" xfId="3" builtinId="15"/>
  </cellStyles>
  <dxfs count="3">
    <dxf>
      <fill>
        <patternFill>
          <bgColor theme="7" tint="0.79998168889431442"/>
        </patternFill>
      </fill>
    </dxf>
    <dxf>
      <font>
        <color rgb="FF9C6500"/>
      </font>
      <fill>
        <patternFill>
          <bgColor rgb="FFFFEB9C"/>
        </patternFill>
      </fill>
    </dxf>
    <dxf>
      <fill>
        <patternFill>
          <bgColor theme="0" tint="-4.9989318521683403E-2"/>
        </patternFill>
      </fill>
    </dxf>
  </dxfs>
  <tableStyles count="0" defaultTableStyle="TableStyleMedium2" defaultPivotStyle="PivotStyleLight16"/>
  <colors>
    <mruColors>
      <color rgb="FF503353"/>
      <color rgb="FFFFFEB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9" Type="http://schemas.openxmlformats.org/officeDocument/2006/relationships/image" Target="../media/image39.png"/><Relationship Id="rId21" Type="http://schemas.openxmlformats.org/officeDocument/2006/relationships/image" Target="../media/image21.png"/><Relationship Id="rId34" Type="http://schemas.openxmlformats.org/officeDocument/2006/relationships/image" Target="../media/image34.png"/><Relationship Id="rId7" Type="http://schemas.openxmlformats.org/officeDocument/2006/relationships/image" Target="../media/image7.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png"/><Relationship Id="rId29" Type="http://schemas.openxmlformats.org/officeDocument/2006/relationships/image" Target="../media/image29.png"/><Relationship Id="rId41" Type="http://schemas.openxmlformats.org/officeDocument/2006/relationships/image" Target="../media/image41.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24" Type="http://schemas.openxmlformats.org/officeDocument/2006/relationships/image" Target="../media/image24.png"/><Relationship Id="rId32" Type="http://schemas.openxmlformats.org/officeDocument/2006/relationships/image" Target="../media/image32.png"/><Relationship Id="rId37" Type="http://schemas.openxmlformats.org/officeDocument/2006/relationships/image" Target="../media/image37.png"/><Relationship Id="rId40" Type="http://schemas.openxmlformats.org/officeDocument/2006/relationships/image" Target="../media/image40.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36" Type="http://schemas.openxmlformats.org/officeDocument/2006/relationships/image" Target="../media/image36.png"/><Relationship Id="rId10" Type="http://schemas.openxmlformats.org/officeDocument/2006/relationships/image" Target="../media/image10.png"/><Relationship Id="rId19" Type="http://schemas.openxmlformats.org/officeDocument/2006/relationships/image" Target="../media/image19.png"/><Relationship Id="rId31" Type="http://schemas.openxmlformats.org/officeDocument/2006/relationships/image" Target="../media/image31.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 Id="rId35" Type="http://schemas.openxmlformats.org/officeDocument/2006/relationships/image" Target="../media/image35.png"/><Relationship Id="rId8" Type="http://schemas.openxmlformats.org/officeDocument/2006/relationships/image" Target="../media/image8.png"/><Relationship Id="rId3" Type="http://schemas.openxmlformats.org/officeDocument/2006/relationships/image" Target="../media/image3.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33" Type="http://schemas.openxmlformats.org/officeDocument/2006/relationships/image" Target="../media/image33.png"/><Relationship Id="rId38" Type="http://schemas.openxmlformats.org/officeDocument/2006/relationships/image" Target="../media/image38.png"/></Relationships>
</file>

<file path=xl/drawings/_rels/drawing2.xml.rels><?xml version="1.0" encoding="UTF-8" standalone="yes"?>
<Relationships xmlns="http://schemas.openxmlformats.org/package/2006/relationships"><Relationship Id="rId8" Type="http://schemas.openxmlformats.org/officeDocument/2006/relationships/image" Target="../media/image49.png"/><Relationship Id="rId13" Type="http://schemas.openxmlformats.org/officeDocument/2006/relationships/image" Target="../media/image54.png"/><Relationship Id="rId18" Type="http://schemas.openxmlformats.org/officeDocument/2006/relationships/image" Target="../media/image59.png"/><Relationship Id="rId3" Type="http://schemas.openxmlformats.org/officeDocument/2006/relationships/image" Target="../media/image44.png"/><Relationship Id="rId7" Type="http://schemas.openxmlformats.org/officeDocument/2006/relationships/image" Target="../media/image48.png"/><Relationship Id="rId12" Type="http://schemas.openxmlformats.org/officeDocument/2006/relationships/image" Target="../media/image53.png"/><Relationship Id="rId17" Type="http://schemas.openxmlformats.org/officeDocument/2006/relationships/image" Target="../media/image58.png"/><Relationship Id="rId2" Type="http://schemas.openxmlformats.org/officeDocument/2006/relationships/image" Target="../media/image43.png"/><Relationship Id="rId16" Type="http://schemas.openxmlformats.org/officeDocument/2006/relationships/image" Target="../media/image57.png"/><Relationship Id="rId20" Type="http://schemas.openxmlformats.org/officeDocument/2006/relationships/image" Target="../media/image61.png"/><Relationship Id="rId1" Type="http://schemas.openxmlformats.org/officeDocument/2006/relationships/image" Target="../media/image42.png"/><Relationship Id="rId6" Type="http://schemas.openxmlformats.org/officeDocument/2006/relationships/image" Target="../media/image47.png"/><Relationship Id="rId11" Type="http://schemas.openxmlformats.org/officeDocument/2006/relationships/image" Target="../media/image52.png"/><Relationship Id="rId5" Type="http://schemas.openxmlformats.org/officeDocument/2006/relationships/image" Target="../media/image46.png"/><Relationship Id="rId15" Type="http://schemas.openxmlformats.org/officeDocument/2006/relationships/image" Target="../media/image56.png"/><Relationship Id="rId10" Type="http://schemas.openxmlformats.org/officeDocument/2006/relationships/image" Target="../media/image51.png"/><Relationship Id="rId19" Type="http://schemas.openxmlformats.org/officeDocument/2006/relationships/image" Target="../media/image60.png"/><Relationship Id="rId4" Type="http://schemas.openxmlformats.org/officeDocument/2006/relationships/image" Target="../media/image45.png"/><Relationship Id="rId9" Type="http://schemas.openxmlformats.org/officeDocument/2006/relationships/image" Target="../media/image50.png"/><Relationship Id="rId14" Type="http://schemas.openxmlformats.org/officeDocument/2006/relationships/image" Target="../media/image55.png"/></Relationships>
</file>

<file path=xl/drawings/drawing1.xml><?xml version="1.0" encoding="utf-8"?>
<xdr:wsDr xmlns:xdr="http://schemas.openxmlformats.org/drawingml/2006/spreadsheetDrawing" xmlns:a="http://schemas.openxmlformats.org/drawingml/2006/main">
  <xdr:twoCellAnchor>
    <xdr:from>
      <xdr:col>1</xdr:col>
      <xdr:colOff>1428750</xdr:colOff>
      <xdr:row>100</xdr:row>
      <xdr:rowOff>9525</xdr:rowOff>
    </xdr:from>
    <xdr:to>
      <xdr:col>1</xdr:col>
      <xdr:colOff>2190750</xdr:colOff>
      <xdr:row>100</xdr:row>
      <xdr:rowOff>19051</xdr:rowOff>
    </xdr:to>
    <xdr:cxnSp macro="">
      <xdr:nvCxnSpPr>
        <xdr:cNvPr id="5" name="Connecteur droit avec flèche 4">
          <a:extLst>
            <a:ext uri="{FF2B5EF4-FFF2-40B4-BE49-F238E27FC236}">
              <a16:creationId xmlns:a16="http://schemas.microsoft.com/office/drawing/2014/main" id="{00000000-0008-0000-0000-000005000000}"/>
            </a:ext>
            <a:ext uri="{C183D7F6-B498-43B3-948B-1728B52AA6E4}">
              <adec:decorative xmlns:adec="http://schemas.microsoft.com/office/drawing/2017/decorative" val="1"/>
            </a:ext>
          </a:extLst>
        </xdr:cNvPr>
        <xdr:cNvCxnSpPr/>
      </xdr:nvCxnSpPr>
      <xdr:spPr>
        <a:xfrm flipV="1">
          <a:off x="4038600" y="39014400"/>
          <a:ext cx="762000" cy="9526"/>
        </a:xfrm>
        <a:prstGeom prst="straightConnector1">
          <a:avLst/>
        </a:prstGeom>
        <a:ln w="28575">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2628900</xdr:colOff>
      <xdr:row>29</xdr:row>
      <xdr:rowOff>66675</xdr:rowOff>
    </xdr:from>
    <xdr:to>
      <xdr:col>2</xdr:col>
      <xdr:colOff>866775</xdr:colOff>
      <xdr:row>32</xdr:row>
      <xdr:rowOff>19050</xdr:rowOff>
    </xdr:to>
    <xdr:pic>
      <xdr:nvPicPr>
        <xdr:cNvPr id="28" name="Image 27" descr="Screenshot of rows and columns of a spreadsheet. The corner is highlighted.">
          <a:extLst>
            <a:ext uri="{FF2B5EF4-FFF2-40B4-BE49-F238E27FC236}">
              <a16:creationId xmlns:a16="http://schemas.microsoft.com/office/drawing/2014/main" id="{00000000-0008-0000-0000-00001C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695825" y="5486400"/>
          <a:ext cx="1381125" cy="5238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190500</xdr:colOff>
      <xdr:row>51</xdr:row>
      <xdr:rowOff>133350</xdr:rowOff>
    </xdr:from>
    <xdr:to>
      <xdr:col>2</xdr:col>
      <xdr:colOff>1142488</xdr:colOff>
      <xdr:row>58</xdr:row>
      <xdr:rowOff>9374</xdr:rowOff>
    </xdr:to>
    <xdr:pic>
      <xdr:nvPicPr>
        <xdr:cNvPr id="2" name="Picture 1" descr="Screenshot of freeze panes dropdown, showing the freeze panes option selected.">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a:stretch>
          <a:fillRect/>
        </a:stretch>
      </xdr:blipFill>
      <xdr:spPr>
        <a:xfrm>
          <a:off x="2800350" y="9553575"/>
          <a:ext cx="4095238" cy="1209524"/>
        </a:xfrm>
        <a:prstGeom prst="rect">
          <a:avLst/>
        </a:prstGeom>
        <a:ln>
          <a:solidFill>
            <a:schemeClr val="tx1"/>
          </a:solidFill>
        </a:ln>
      </xdr:spPr>
    </xdr:pic>
    <xdr:clientData/>
  </xdr:twoCellAnchor>
  <xdr:twoCellAnchor>
    <xdr:from>
      <xdr:col>1</xdr:col>
      <xdr:colOff>133350</xdr:colOff>
      <xdr:row>152</xdr:row>
      <xdr:rowOff>47625</xdr:rowOff>
    </xdr:from>
    <xdr:to>
      <xdr:col>1</xdr:col>
      <xdr:colOff>1571445</xdr:colOff>
      <xdr:row>155</xdr:row>
      <xdr:rowOff>285649</xdr:rowOff>
    </xdr:to>
    <xdr:grpSp>
      <xdr:nvGrpSpPr>
        <xdr:cNvPr id="17" name="Group 16" descr="Screenshot of home ribbon, clipboard section, showing format painter tool.">
          <a:extLst>
            <a:ext uri="{FF2B5EF4-FFF2-40B4-BE49-F238E27FC236}">
              <a16:creationId xmlns:a16="http://schemas.microsoft.com/office/drawing/2014/main" id="{00000000-0008-0000-0000-000011000000}"/>
            </a:ext>
          </a:extLst>
        </xdr:cNvPr>
        <xdr:cNvGrpSpPr/>
      </xdr:nvGrpSpPr>
      <xdr:grpSpPr>
        <a:xfrm>
          <a:off x="2867025" y="28762325"/>
          <a:ext cx="1441270" cy="784124"/>
          <a:chOff x="2743200" y="14801850"/>
          <a:chExt cx="1438095" cy="809524"/>
        </a:xfrm>
      </xdr:grpSpPr>
      <xdr:pic>
        <xdr:nvPicPr>
          <xdr:cNvPr id="11" name="Picture 10">
            <a:extLst>
              <a:ext uri="{FF2B5EF4-FFF2-40B4-BE49-F238E27FC236}">
                <a16:creationId xmlns:a16="http://schemas.microsoft.com/office/drawing/2014/main" id="{00000000-0008-0000-0000-00000B000000}"/>
              </a:ext>
            </a:extLst>
          </xdr:cNvPr>
          <xdr:cNvPicPr>
            <a:picLocks noChangeAspect="1"/>
          </xdr:cNvPicPr>
        </xdr:nvPicPr>
        <xdr:blipFill>
          <a:blip xmlns:r="http://schemas.openxmlformats.org/officeDocument/2006/relationships" r:embed="rId3"/>
          <a:stretch>
            <a:fillRect/>
          </a:stretch>
        </xdr:blipFill>
        <xdr:spPr>
          <a:xfrm>
            <a:off x="2743200" y="14801850"/>
            <a:ext cx="1438095" cy="809524"/>
          </a:xfrm>
          <a:prstGeom prst="rect">
            <a:avLst/>
          </a:prstGeom>
          <a:ln>
            <a:solidFill>
              <a:schemeClr val="tx1"/>
            </a:solidFill>
          </a:ln>
        </xdr:spPr>
      </xdr:pic>
      <xdr:sp macro="" textlink="">
        <xdr:nvSpPr>
          <xdr:cNvPr id="14" name="Oval 13">
            <a:extLst>
              <a:ext uri="{FF2B5EF4-FFF2-40B4-BE49-F238E27FC236}">
                <a16:creationId xmlns:a16="http://schemas.microsoft.com/office/drawing/2014/main" id="{00000000-0008-0000-0000-00000E000000}"/>
              </a:ext>
            </a:extLst>
          </xdr:cNvPr>
          <xdr:cNvSpPr/>
        </xdr:nvSpPr>
        <xdr:spPr>
          <a:xfrm>
            <a:off x="3086100" y="15182850"/>
            <a:ext cx="1057275" cy="276225"/>
          </a:xfrm>
          <a:prstGeom prst="ellipse">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1</xdr:col>
      <xdr:colOff>47624</xdr:colOff>
      <xdr:row>160</xdr:row>
      <xdr:rowOff>9525</xdr:rowOff>
    </xdr:from>
    <xdr:to>
      <xdr:col>1</xdr:col>
      <xdr:colOff>2590489</xdr:colOff>
      <xdr:row>164</xdr:row>
      <xdr:rowOff>104677</xdr:rowOff>
    </xdr:to>
    <xdr:grpSp>
      <xdr:nvGrpSpPr>
        <xdr:cNvPr id="22" name="Group 21" descr="Screenshot of home ribbon, alignment section, showing the vertical and horizontal alignment options.">
          <a:extLst>
            <a:ext uri="{FF2B5EF4-FFF2-40B4-BE49-F238E27FC236}">
              <a16:creationId xmlns:a16="http://schemas.microsoft.com/office/drawing/2014/main" id="{00000000-0008-0000-0000-000016000000}"/>
            </a:ext>
          </a:extLst>
        </xdr:cNvPr>
        <xdr:cNvGrpSpPr/>
      </xdr:nvGrpSpPr>
      <xdr:grpSpPr>
        <a:xfrm>
          <a:off x="2784474" y="30286325"/>
          <a:ext cx="2539690" cy="825402"/>
          <a:chOff x="2657474" y="16392525"/>
          <a:chExt cx="2542865" cy="857152"/>
        </a:xfrm>
      </xdr:grpSpPr>
      <xdr:pic>
        <xdr:nvPicPr>
          <xdr:cNvPr id="18" name="Picture 17">
            <a:extLst>
              <a:ext uri="{FF2B5EF4-FFF2-40B4-BE49-F238E27FC236}">
                <a16:creationId xmlns:a16="http://schemas.microsoft.com/office/drawing/2014/main" id="{00000000-0008-0000-0000-000012000000}"/>
              </a:ext>
            </a:extLst>
          </xdr:cNvPr>
          <xdr:cNvPicPr>
            <a:picLocks noChangeAspect="1"/>
          </xdr:cNvPicPr>
        </xdr:nvPicPr>
        <xdr:blipFill>
          <a:blip xmlns:r="http://schemas.openxmlformats.org/officeDocument/2006/relationships" r:embed="rId4"/>
          <a:stretch>
            <a:fillRect/>
          </a:stretch>
        </xdr:blipFill>
        <xdr:spPr>
          <a:xfrm>
            <a:off x="2714625" y="16468725"/>
            <a:ext cx="2485714" cy="780952"/>
          </a:xfrm>
          <a:prstGeom prst="rect">
            <a:avLst/>
          </a:prstGeom>
          <a:ln>
            <a:solidFill>
              <a:schemeClr val="tx1"/>
            </a:solidFill>
          </a:ln>
        </xdr:spPr>
      </xdr:pic>
      <xdr:sp macro="" textlink="">
        <xdr:nvSpPr>
          <xdr:cNvPr id="71" name="Oval 70">
            <a:extLst>
              <a:ext uri="{FF2B5EF4-FFF2-40B4-BE49-F238E27FC236}">
                <a16:creationId xmlns:a16="http://schemas.microsoft.com/office/drawing/2014/main" id="{00000000-0008-0000-0000-000047000000}"/>
              </a:ext>
            </a:extLst>
          </xdr:cNvPr>
          <xdr:cNvSpPr/>
        </xdr:nvSpPr>
        <xdr:spPr>
          <a:xfrm>
            <a:off x="2657474" y="16392525"/>
            <a:ext cx="885825" cy="685800"/>
          </a:xfrm>
          <a:prstGeom prst="ellipse">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1</xdr:col>
      <xdr:colOff>123825</xdr:colOff>
      <xdr:row>170</xdr:row>
      <xdr:rowOff>95250</xdr:rowOff>
    </xdr:from>
    <xdr:to>
      <xdr:col>1</xdr:col>
      <xdr:colOff>2171700</xdr:colOff>
      <xdr:row>175</xdr:row>
      <xdr:rowOff>57149</xdr:rowOff>
    </xdr:to>
    <xdr:grpSp>
      <xdr:nvGrpSpPr>
        <xdr:cNvPr id="30" name="Group 29" descr="Screenshot of home ribbon, font section, showing the menu expansion arrow on the bottom right of the section.">
          <a:extLst>
            <a:ext uri="{FF2B5EF4-FFF2-40B4-BE49-F238E27FC236}">
              <a16:creationId xmlns:a16="http://schemas.microsoft.com/office/drawing/2014/main" id="{00000000-0008-0000-0000-00001E000000}"/>
            </a:ext>
          </a:extLst>
        </xdr:cNvPr>
        <xdr:cNvGrpSpPr/>
      </xdr:nvGrpSpPr>
      <xdr:grpSpPr>
        <a:xfrm>
          <a:off x="2854325" y="32118300"/>
          <a:ext cx="2051050" cy="866774"/>
          <a:chOff x="2733675" y="18307050"/>
          <a:chExt cx="2047875" cy="914399"/>
        </a:xfrm>
      </xdr:grpSpPr>
      <xdr:pic>
        <xdr:nvPicPr>
          <xdr:cNvPr id="27" name="Picture 26">
            <a:extLst>
              <a:ext uri="{FF2B5EF4-FFF2-40B4-BE49-F238E27FC236}">
                <a16:creationId xmlns:a16="http://schemas.microsoft.com/office/drawing/2014/main" id="{00000000-0008-0000-0000-00001B000000}"/>
              </a:ext>
            </a:extLst>
          </xdr:cNvPr>
          <xdr:cNvPicPr>
            <a:picLocks noChangeAspect="1"/>
          </xdr:cNvPicPr>
        </xdr:nvPicPr>
        <xdr:blipFill>
          <a:blip xmlns:r="http://schemas.openxmlformats.org/officeDocument/2006/relationships" r:embed="rId5"/>
          <a:stretch>
            <a:fillRect/>
          </a:stretch>
        </xdr:blipFill>
        <xdr:spPr>
          <a:xfrm>
            <a:off x="2733675" y="18307050"/>
            <a:ext cx="1933333" cy="828571"/>
          </a:xfrm>
          <a:prstGeom prst="rect">
            <a:avLst/>
          </a:prstGeom>
          <a:ln>
            <a:solidFill>
              <a:schemeClr val="tx1"/>
            </a:solidFill>
          </a:ln>
        </xdr:spPr>
      </xdr:pic>
      <xdr:sp macro="" textlink="">
        <xdr:nvSpPr>
          <xdr:cNvPr id="76" name="Oval 75">
            <a:extLst>
              <a:ext uri="{FF2B5EF4-FFF2-40B4-BE49-F238E27FC236}">
                <a16:creationId xmlns:a16="http://schemas.microsoft.com/office/drawing/2014/main" id="{00000000-0008-0000-0000-00004C000000}"/>
              </a:ext>
            </a:extLst>
          </xdr:cNvPr>
          <xdr:cNvSpPr/>
        </xdr:nvSpPr>
        <xdr:spPr>
          <a:xfrm>
            <a:off x="4467226" y="18964274"/>
            <a:ext cx="314324" cy="257175"/>
          </a:xfrm>
          <a:prstGeom prst="ellipse">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editAs="oneCell">
    <xdr:from>
      <xdr:col>1</xdr:col>
      <xdr:colOff>2552700</xdr:colOff>
      <xdr:row>168</xdr:row>
      <xdr:rowOff>28575</xdr:rowOff>
    </xdr:from>
    <xdr:to>
      <xdr:col>2</xdr:col>
      <xdr:colOff>2933259</xdr:colOff>
      <xdr:row>175</xdr:row>
      <xdr:rowOff>171275</xdr:rowOff>
    </xdr:to>
    <xdr:pic>
      <xdr:nvPicPr>
        <xdr:cNvPr id="34" name="Picture 33" descr="Screenshot of format cells menu, with the border tab selected.">
          <a:extLst>
            <a:ext uri="{FF2B5EF4-FFF2-40B4-BE49-F238E27FC236}">
              <a16:creationId xmlns:a16="http://schemas.microsoft.com/office/drawing/2014/main" id="{00000000-0008-0000-0000-000022000000}"/>
            </a:ext>
          </a:extLst>
        </xdr:cNvPr>
        <xdr:cNvPicPr>
          <a:picLocks noChangeAspect="1"/>
        </xdr:cNvPicPr>
      </xdr:nvPicPr>
      <xdr:blipFill>
        <a:blip xmlns:r="http://schemas.openxmlformats.org/officeDocument/2006/relationships" r:embed="rId6"/>
        <a:stretch>
          <a:fillRect/>
        </a:stretch>
      </xdr:blipFill>
      <xdr:spPr>
        <a:xfrm>
          <a:off x="5162550" y="17935575"/>
          <a:ext cx="3523809" cy="1400000"/>
        </a:xfrm>
        <a:prstGeom prst="rect">
          <a:avLst/>
        </a:prstGeom>
      </xdr:spPr>
    </xdr:pic>
    <xdr:clientData/>
  </xdr:twoCellAnchor>
  <xdr:twoCellAnchor>
    <xdr:from>
      <xdr:col>1</xdr:col>
      <xdr:colOff>209550</xdr:colOff>
      <xdr:row>180</xdr:row>
      <xdr:rowOff>171450</xdr:rowOff>
    </xdr:from>
    <xdr:to>
      <xdr:col>1</xdr:col>
      <xdr:colOff>2142883</xdr:colOff>
      <xdr:row>185</xdr:row>
      <xdr:rowOff>47521</xdr:rowOff>
    </xdr:to>
    <xdr:grpSp>
      <xdr:nvGrpSpPr>
        <xdr:cNvPr id="35" name="Group 34" descr="Screenshot of home ribbon, font section, highlighting the fill color option.">
          <a:extLst>
            <a:ext uri="{FF2B5EF4-FFF2-40B4-BE49-F238E27FC236}">
              <a16:creationId xmlns:a16="http://schemas.microsoft.com/office/drawing/2014/main" id="{00000000-0008-0000-0000-000023000000}"/>
            </a:ext>
          </a:extLst>
        </xdr:cNvPr>
        <xdr:cNvGrpSpPr/>
      </xdr:nvGrpSpPr>
      <xdr:grpSpPr>
        <a:xfrm>
          <a:off x="2943225" y="34042350"/>
          <a:ext cx="1936508" cy="784121"/>
          <a:chOff x="2743200" y="20288250"/>
          <a:chExt cx="1933333" cy="828571"/>
        </a:xfrm>
      </xdr:grpSpPr>
      <xdr:pic>
        <xdr:nvPicPr>
          <xdr:cNvPr id="78" name="Picture 77">
            <a:extLst>
              <a:ext uri="{FF2B5EF4-FFF2-40B4-BE49-F238E27FC236}">
                <a16:creationId xmlns:a16="http://schemas.microsoft.com/office/drawing/2014/main" id="{00000000-0008-0000-0000-00004E000000}"/>
              </a:ext>
            </a:extLst>
          </xdr:cNvPr>
          <xdr:cNvPicPr>
            <a:picLocks noChangeAspect="1"/>
          </xdr:cNvPicPr>
        </xdr:nvPicPr>
        <xdr:blipFill>
          <a:blip xmlns:r="http://schemas.openxmlformats.org/officeDocument/2006/relationships" r:embed="rId5"/>
          <a:stretch>
            <a:fillRect/>
          </a:stretch>
        </xdr:blipFill>
        <xdr:spPr>
          <a:xfrm>
            <a:off x="2743200" y="20288250"/>
            <a:ext cx="1933333" cy="828571"/>
          </a:xfrm>
          <a:prstGeom prst="rect">
            <a:avLst/>
          </a:prstGeom>
          <a:ln>
            <a:solidFill>
              <a:schemeClr val="tx1"/>
            </a:solidFill>
          </a:ln>
        </xdr:spPr>
      </xdr:pic>
      <xdr:sp macro="" textlink="">
        <xdr:nvSpPr>
          <xdr:cNvPr id="79" name="Oval 78">
            <a:extLst>
              <a:ext uri="{FF2B5EF4-FFF2-40B4-BE49-F238E27FC236}">
                <a16:creationId xmlns:a16="http://schemas.microsoft.com/office/drawing/2014/main" id="{00000000-0008-0000-0000-00004F000000}"/>
              </a:ext>
            </a:extLst>
          </xdr:cNvPr>
          <xdr:cNvSpPr/>
        </xdr:nvSpPr>
        <xdr:spPr>
          <a:xfrm>
            <a:off x="4000501" y="20631149"/>
            <a:ext cx="314324" cy="257175"/>
          </a:xfrm>
          <a:prstGeom prst="ellipse">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1</xdr:col>
      <xdr:colOff>295276</xdr:colOff>
      <xdr:row>188</xdr:row>
      <xdr:rowOff>152400</xdr:rowOff>
    </xdr:from>
    <xdr:to>
      <xdr:col>1</xdr:col>
      <xdr:colOff>2780990</xdr:colOff>
      <xdr:row>193</xdr:row>
      <xdr:rowOff>18952</xdr:rowOff>
    </xdr:to>
    <xdr:grpSp>
      <xdr:nvGrpSpPr>
        <xdr:cNvPr id="38" name="Group 37" descr="Screenshot of home ribbon, alignment section, highlighting the wrap text option.">
          <a:extLst>
            <a:ext uri="{FF2B5EF4-FFF2-40B4-BE49-F238E27FC236}">
              <a16:creationId xmlns:a16="http://schemas.microsoft.com/office/drawing/2014/main" id="{00000000-0008-0000-0000-000026000000}"/>
            </a:ext>
          </a:extLst>
        </xdr:cNvPr>
        <xdr:cNvGrpSpPr/>
      </xdr:nvGrpSpPr>
      <xdr:grpSpPr>
        <a:xfrm>
          <a:off x="3025776" y="35471100"/>
          <a:ext cx="2488889" cy="771427"/>
          <a:chOff x="2905126" y="21821775"/>
          <a:chExt cx="2485714" cy="819052"/>
        </a:xfrm>
      </xdr:grpSpPr>
      <xdr:pic>
        <xdr:nvPicPr>
          <xdr:cNvPr id="81" name="Picture 80">
            <a:extLst>
              <a:ext uri="{FF2B5EF4-FFF2-40B4-BE49-F238E27FC236}">
                <a16:creationId xmlns:a16="http://schemas.microsoft.com/office/drawing/2014/main" id="{00000000-0008-0000-0000-000051000000}"/>
              </a:ext>
            </a:extLst>
          </xdr:cNvPr>
          <xdr:cNvPicPr>
            <a:picLocks noChangeAspect="1"/>
          </xdr:cNvPicPr>
        </xdr:nvPicPr>
        <xdr:blipFill>
          <a:blip xmlns:r="http://schemas.openxmlformats.org/officeDocument/2006/relationships" r:embed="rId4"/>
          <a:stretch>
            <a:fillRect/>
          </a:stretch>
        </xdr:blipFill>
        <xdr:spPr>
          <a:xfrm>
            <a:off x="2905126" y="21859875"/>
            <a:ext cx="2485714" cy="780952"/>
          </a:xfrm>
          <a:prstGeom prst="rect">
            <a:avLst/>
          </a:prstGeom>
          <a:ln>
            <a:solidFill>
              <a:schemeClr val="tx1"/>
            </a:solidFill>
          </a:ln>
        </xdr:spPr>
      </xdr:pic>
      <xdr:sp macro="" textlink="">
        <xdr:nvSpPr>
          <xdr:cNvPr id="82" name="Oval 81">
            <a:extLst>
              <a:ext uri="{FF2B5EF4-FFF2-40B4-BE49-F238E27FC236}">
                <a16:creationId xmlns:a16="http://schemas.microsoft.com/office/drawing/2014/main" id="{00000000-0008-0000-0000-000052000000}"/>
              </a:ext>
            </a:extLst>
          </xdr:cNvPr>
          <xdr:cNvSpPr/>
        </xdr:nvSpPr>
        <xdr:spPr>
          <a:xfrm>
            <a:off x="4019550" y="21821775"/>
            <a:ext cx="1076325" cy="352425"/>
          </a:xfrm>
          <a:prstGeom prst="ellipse">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1</xdr:col>
      <xdr:colOff>371475</xdr:colOff>
      <xdr:row>198</xdr:row>
      <xdr:rowOff>161925</xdr:rowOff>
    </xdr:from>
    <xdr:to>
      <xdr:col>1</xdr:col>
      <xdr:colOff>2866713</xdr:colOff>
      <xdr:row>207</xdr:row>
      <xdr:rowOff>142664</xdr:rowOff>
    </xdr:to>
    <xdr:grpSp>
      <xdr:nvGrpSpPr>
        <xdr:cNvPr id="48" name="Group 47" descr="Screenshot of home ribbon, alignment section, highlighting the text direction option.">
          <a:extLst>
            <a:ext uri="{FF2B5EF4-FFF2-40B4-BE49-F238E27FC236}">
              <a16:creationId xmlns:a16="http://schemas.microsoft.com/office/drawing/2014/main" id="{00000000-0008-0000-0000-000030000000}"/>
            </a:ext>
          </a:extLst>
        </xdr:cNvPr>
        <xdr:cNvGrpSpPr/>
      </xdr:nvGrpSpPr>
      <xdr:grpSpPr>
        <a:xfrm>
          <a:off x="3101975" y="37287200"/>
          <a:ext cx="2501588" cy="1615864"/>
          <a:chOff x="2847975" y="23679150"/>
          <a:chExt cx="2495238" cy="1695239"/>
        </a:xfrm>
      </xdr:grpSpPr>
      <xdr:pic>
        <xdr:nvPicPr>
          <xdr:cNvPr id="41" name="Picture 40">
            <a:extLst>
              <a:ext uri="{FF2B5EF4-FFF2-40B4-BE49-F238E27FC236}">
                <a16:creationId xmlns:a16="http://schemas.microsoft.com/office/drawing/2014/main" id="{00000000-0008-0000-0000-000029000000}"/>
              </a:ext>
            </a:extLst>
          </xdr:cNvPr>
          <xdr:cNvPicPr>
            <a:picLocks noChangeAspect="1"/>
          </xdr:cNvPicPr>
        </xdr:nvPicPr>
        <xdr:blipFill>
          <a:blip xmlns:r="http://schemas.openxmlformats.org/officeDocument/2006/relationships" r:embed="rId7"/>
          <a:stretch>
            <a:fillRect/>
          </a:stretch>
        </xdr:blipFill>
        <xdr:spPr>
          <a:xfrm>
            <a:off x="2847975" y="23688675"/>
            <a:ext cx="2495238" cy="1685714"/>
          </a:xfrm>
          <a:prstGeom prst="rect">
            <a:avLst/>
          </a:prstGeom>
          <a:ln>
            <a:solidFill>
              <a:schemeClr val="tx1"/>
            </a:solidFill>
          </a:ln>
        </xdr:spPr>
      </xdr:pic>
      <xdr:sp macro="" textlink="">
        <xdr:nvSpPr>
          <xdr:cNvPr id="83" name="Oval 82">
            <a:extLst>
              <a:ext uri="{FF2B5EF4-FFF2-40B4-BE49-F238E27FC236}">
                <a16:creationId xmlns:a16="http://schemas.microsoft.com/office/drawing/2014/main" id="{00000000-0008-0000-0000-000053000000}"/>
              </a:ext>
            </a:extLst>
          </xdr:cNvPr>
          <xdr:cNvSpPr/>
        </xdr:nvSpPr>
        <xdr:spPr>
          <a:xfrm>
            <a:off x="3543300" y="23679150"/>
            <a:ext cx="381000" cy="352425"/>
          </a:xfrm>
          <a:prstGeom prst="ellipse">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1</xdr:col>
      <xdr:colOff>161925</xdr:colOff>
      <xdr:row>210</xdr:row>
      <xdr:rowOff>171450</xdr:rowOff>
    </xdr:from>
    <xdr:to>
      <xdr:col>1</xdr:col>
      <xdr:colOff>2104795</xdr:colOff>
      <xdr:row>220</xdr:row>
      <xdr:rowOff>66450</xdr:rowOff>
    </xdr:to>
    <xdr:grpSp>
      <xdr:nvGrpSpPr>
        <xdr:cNvPr id="40" name="Group 39" descr="Screenshot of right click on a cell row or column menu, showing the format cells option.">
          <a:extLst>
            <a:ext uri="{FF2B5EF4-FFF2-40B4-BE49-F238E27FC236}">
              <a16:creationId xmlns:a16="http://schemas.microsoft.com/office/drawing/2014/main" id="{00000000-0008-0000-0000-000028000000}"/>
            </a:ext>
          </a:extLst>
        </xdr:cNvPr>
        <xdr:cNvGrpSpPr/>
      </xdr:nvGrpSpPr>
      <xdr:grpSpPr>
        <a:xfrm>
          <a:off x="2892425" y="39471600"/>
          <a:ext cx="1949220" cy="1707925"/>
          <a:chOff x="2771775" y="25898475"/>
          <a:chExt cx="1942870" cy="1800000"/>
        </a:xfrm>
      </xdr:grpSpPr>
      <xdr:pic>
        <xdr:nvPicPr>
          <xdr:cNvPr id="50" name="Picture 49">
            <a:extLst>
              <a:ext uri="{FF2B5EF4-FFF2-40B4-BE49-F238E27FC236}">
                <a16:creationId xmlns:a16="http://schemas.microsoft.com/office/drawing/2014/main" id="{00000000-0008-0000-0000-000032000000}"/>
              </a:ext>
            </a:extLst>
          </xdr:cNvPr>
          <xdr:cNvPicPr>
            <a:picLocks noChangeAspect="1"/>
          </xdr:cNvPicPr>
        </xdr:nvPicPr>
        <xdr:blipFill>
          <a:blip xmlns:r="http://schemas.openxmlformats.org/officeDocument/2006/relationships" r:embed="rId8"/>
          <a:stretch>
            <a:fillRect/>
          </a:stretch>
        </xdr:blipFill>
        <xdr:spPr>
          <a:xfrm>
            <a:off x="2876550" y="25898475"/>
            <a:ext cx="1838095" cy="1800000"/>
          </a:xfrm>
          <a:prstGeom prst="rect">
            <a:avLst/>
          </a:prstGeom>
          <a:ln>
            <a:solidFill>
              <a:schemeClr val="tx1"/>
            </a:solidFill>
          </a:ln>
        </xdr:spPr>
      </xdr:pic>
      <xdr:sp macro="" textlink="">
        <xdr:nvSpPr>
          <xdr:cNvPr id="84" name="Oval 83">
            <a:extLst>
              <a:ext uri="{FF2B5EF4-FFF2-40B4-BE49-F238E27FC236}">
                <a16:creationId xmlns:a16="http://schemas.microsoft.com/office/drawing/2014/main" id="{00000000-0008-0000-0000-000054000000}"/>
              </a:ext>
            </a:extLst>
          </xdr:cNvPr>
          <xdr:cNvSpPr/>
        </xdr:nvSpPr>
        <xdr:spPr>
          <a:xfrm>
            <a:off x="2771775" y="26784300"/>
            <a:ext cx="1752600" cy="295275"/>
          </a:xfrm>
          <a:prstGeom prst="ellipse">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1</xdr:col>
      <xdr:colOff>2647950</xdr:colOff>
      <xdr:row>213</xdr:row>
      <xdr:rowOff>133350</xdr:rowOff>
    </xdr:from>
    <xdr:to>
      <xdr:col>2</xdr:col>
      <xdr:colOff>1923748</xdr:colOff>
      <xdr:row>221</xdr:row>
      <xdr:rowOff>152207</xdr:rowOff>
    </xdr:to>
    <xdr:grpSp>
      <xdr:nvGrpSpPr>
        <xdr:cNvPr id="87" name="Group 86" descr="Screenshot of the format cells menu, with the number tab selected.">
          <a:extLst>
            <a:ext uri="{FF2B5EF4-FFF2-40B4-BE49-F238E27FC236}">
              <a16:creationId xmlns:a16="http://schemas.microsoft.com/office/drawing/2014/main" id="{00000000-0008-0000-0000-000057000000}"/>
            </a:ext>
          </a:extLst>
        </xdr:cNvPr>
        <xdr:cNvGrpSpPr/>
      </xdr:nvGrpSpPr>
      <xdr:grpSpPr>
        <a:xfrm>
          <a:off x="5381625" y="39976425"/>
          <a:ext cx="2561923" cy="1466657"/>
          <a:chOff x="5257800" y="26565225"/>
          <a:chExt cx="2419048" cy="1542857"/>
        </a:xfrm>
      </xdr:grpSpPr>
      <xdr:pic>
        <xdr:nvPicPr>
          <xdr:cNvPr id="85" name="Picture 84">
            <a:extLst>
              <a:ext uri="{FF2B5EF4-FFF2-40B4-BE49-F238E27FC236}">
                <a16:creationId xmlns:a16="http://schemas.microsoft.com/office/drawing/2014/main" id="{00000000-0008-0000-0000-000055000000}"/>
              </a:ext>
            </a:extLst>
          </xdr:cNvPr>
          <xdr:cNvPicPr>
            <a:picLocks noChangeAspect="1"/>
          </xdr:cNvPicPr>
        </xdr:nvPicPr>
        <xdr:blipFill>
          <a:blip xmlns:r="http://schemas.openxmlformats.org/officeDocument/2006/relationships" r:embed="rId9"/>
          <a:stretch>
            <a:fillRect/>
          </a:stretch>
        </xdr:blipFill>
        <xdr:spPr>
          <a:xfrm>
            <a:off x="5257800" y="26565225"/>
            <a:ext cx="2419048" cy="1542857"/>
          </a:xfrm>
          <a:prstGeom prst="rect">
            <a:avLst/>
          </a:prstGeom>
          <a:ln>
            <a:solidFill>
              <a:schemeClr val="tx1"/>
            </a:solidFill>
          </a:ln>
        </xdr:spPr>
      </xdr:pic>
      <xdr:sp macro="" textlink="">
        <xdr:nvSpPr>
          <xdr:cNvPr id="86" name="Oval 85">
            <a:extLst>
              <a:ext uri="{FF2B5EF4-FFF2-40B4-BE49-F238E27FC236}">
                <a16:creationId xmlns:a16="http://schemas.microsoft.com/office/drawing/2014/main" id="{00000000-0008-0000-0000-000056000000}"/>
              </a:ext>
            </a:extLst>
          </xdr:cNvPr>
          <xdr:cNvSpPr/>
        </xdr:nvSpPr>
        <xdr:spPr>
          <a:xfrm>
            <a:off x="5286376" y="26812875"/>
            <a:ext cx="723900" cy="266700"/>
          </a:xfrm>
          <a:prstGeom prst="ellipse">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editAs="oneCell">
    <xdr:from>
      <xdr:col>1</xdr:col>
      <xdr:colOff>266700</xdr:colOff>
      <xdr:row>221</xdr:row>
      <xdr:rowOff>19050</xdr:rowOff>
    </xdr:from>
    <xdr:to>
      <xdr:col>1</xdr:col>
      <xdr:colOff>1542890</xdr:colOff>
      <xdr:row>225</xdr:row>
      <xdr:rowOff>66574</xdr:rowOff>
    </xdr:to>
    <xdr:pic>
      <xdr:nvPicPr>
        <xdr:cNvPr id="88" name="Picture 87" descr="Screenshot of the home ribbon, number section, showing the various formatting options.">
          <a:extLst>
            <a:ext uri="{FF2B5EF4-FFF2-40B4-BE49-F238E27FC236}">
              <a16:creationId xmlns:a16="http://schemas.microsoft.com/office/drawing/2014/main" id="{00000000-0008-0000-0000-000058000000}"/>
            </a:ext>
          </a:extLst>
        </xdr:cNvPr>
        <xdr:cNvPicPr>
          <a:picLocks noChangeAspect="1"/>
        </xdr:cNvPicPr>
      </xdr:nvPicPr>
      <xdr:blipFill>
        <a:blip xmlns:r="http://schemas.openxmlformats.org/officeDocument/2006/relationships" r:embed="rId10"/>
        <a:stretch>
          <a:fillRect/>
        </a:stretch>
      </xdr:blipFill>
      <xdr:spPr>
        <a:xfrm>
          <a:off x="2876550" y="27974925"/>
          <a:ext cx="1276190" cy="809524"/>
        </a:xfrm>
        <a:prstGeom prst="rect">
          <a:avLst/>
        </a:prstGeom>
        <a:ln>
          <a:solidFill>
            <a:schemeClr val="tx1"/>
          </a:solidFill>
        </a:ln>
      </xdr:spPr>
    </xdr:pic>
    <xdr:clientData/>
  </xdr:twoCellAnchor>
  <xdr:twoCellAnchor>
    <xdr:from>
      <xdr:col>1</xdr:col>
      <xdr:colOff>228600</xdr:colOff>
      <xdr:row>230</xdr:row>
      <xdr:rowOff>0</xdr:rowOff>
    </xdr:from>
    <xdr:to>
      <xdr:col>1</xdr:col>
      <xdr:colOff>2714625</xdr:colOff>
      <xdr:row>234</xdr:row>
      <xdr:rowOff>18952</xdr:rowOff>
    </xdr:to>
    <xdr:grpSp>
      <xdr:nvGrpSpPr>
        <xdr:cNvPr id="92" name="Group 91" descr="Screenshot of the home section, alignment menu, showing the merge &amp; center option.">
          <a:extLst>
            <a:ext uri="{FF2B5EF4-FFF2-40B4-BE49-F238E27FC236}">
              <a16:creationId xmlns:a16="http://schemas.microsoft.com/office/drawing/2014/main" id="{00000000-0008-0000-0000-00005C000000}"/>
            </a:ext>
          </a:extLst>
        </xdr:cNvPr>
        <xdr:cNvGrpSpPr/>
      </xdr:nvGrpSpPr>
      <xdr:grpSpPr>
        <a:xfrm>
          <a:off x="2962275" y="42919650"/>
          <a:ext cx="2482850" cy="742852"/>
          <a:chOff x="2838450" y="29670375"/>
          <a:chExt cx="2486025" cy="780952"/>
        </a:xfrm>
      </xdr:grpSpPr>
      <xdr:pic>
        <xdr:nvPicPr>
          <xdr:cNvPr id="90" name="Picture 89">
            <a:extLst>
              <a:ext uri="{FF2B5EF4-FFF2-40B4-BE49-F238E27FC236}">
                <a16:creationId xmlns:a16="http://schemas.microsoft.com/office/drawing/2014/main" id="{00000000-0008-0000-0000-00005A000000}"/>
              </a:ext>
            </a:extLst>
          </xdr:cNvPr>
          <xdr:cNvPicPr>
            <a:picLocks noChangeAspect="1"/>
          </xdr:cNvPicPr>
        </xdr:nvPicPr>
        <xdr:blipFill>
          <a:blip xmlns:r="http://schemas.openxmlformats.org/officeDocument/2006/relationships" r:embed="rId4"/>
          <a:stretch>
            <a:fillRect/>
          </a:stretch>
        </xdr:blipFill>
        <xdr:spPr>
          <a:xfrm>
            <a:off x="2838450" y="29670375"/>
            <a:ext cx="2485714" cy="780952"/>
          </a:xfrm>
          <a:prstGeom prst="rect">
            <a:avLst/>
          </a:prstGeom>
          <a:ln>
            <a:solidFill>
              <a:schemeClr val="tx1"/>
            </a:solidFill>
          </a:ln>
        </xdr:spPr>
      </xdr:pic>
      <xdr:sp macro="" textlink="">
        <xdr:nvSpPr>
          <xdr:cNvPr id="91" name="Oval 90">
            <a:extLst>
              <a:ext uri="{FF2B5EF4-FFF2-40B4-BE49-F238E27FC236}">
                <a16:creationId xmlns:a16="http://schemas.microsoft.com/office/drawing/2014/main" id="{00000000-0008-0000-0000-00005B000000}"/>
              </a:ext>
            </a:extLst>
          </xdr:cNvPr>
          <xdr:cNvSpPr/>
        </xdr:nvSpPr>
        <xdr:spPr>
          <a:xfrm>
            <a:off x="4000499" y="29956124"/>
            <a:ext cx="1323976" cy="304801"/>
          </a:xfrm>
          <a:prstGeom prst="ellipse">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1</xdr:col>
      <xdr:colOff>200025</xdr:colOff>
      <xdr:row>62</xdr:row>
      <xdr:rowOff>114300</xdr:rowOff>
    </xdr:from>
    <xdr:to>
      <xdr:col>1</xdr:col>
      <xdr:colOff>1457168</xdr:colOff>
      <xdr:row>71</xdr:row>
      <xdr:rowOff>37895</xdr:rowOff>
    </xdr:to>
    <xdr:grpSp>
      <xdr:nvGrpSpPr>
        <xdr:cNvPr id="7" name="Group 6" descr="Screenshot of right click menu, with insert and delete highlighted.">
          <a:extLst>
            <a:ext uri="{FF2B5EF4-FFF2-40B4-BE49-F238E27FC236}">
              <a16:creationId xmlns:a16="http://schemas.microsoft.com/office/drawing/2014/main" id="{00000000-0008-0000-0000-000007000000}"/>
            </a:ext>
          </a:extLst>
        </xdr:cNvPr>
        <xdr:cNvGrpSpPr/>
      </xdr:nvGrpSpPr>
      <xdr:grpSpPr>
        <a:xfrm>
          <a:off x="2930525" y="12306300"/>
          <a:ext cx="1263493" cy="1552370"/>
          <a:chOff x="2809875" y="31689675"/>
          <a:chExt cx="1257143" cy="1638095"/>
        </a:xfrm>
      </xdr:grpSpPr>
      <xdr:pic>
        <xdr:nvPicPr>
          <xdr:cNvPr id="3" name="Picture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1"/>
          <a:stretch>
            <a:fillRect/>
          </a:stretch>
        </xdr:blipFill>
        <xdr:spPr>
          <a:xfrm>
            <a:off x="2809875" y="31689675"/>
            <a:ext cx="1257143" cy="1638095"/>
          </a:xfrm>
          <a:prstGeom prst="rect">
            <a:avLst/>
          </a:prstGeom>
          <a:ln>
            <a:solidFill>
              <a:schemeClr val="tx1"/>
            </a:solidFill>
          </a:ln>
        </xdr:spPr>
      </xdr:pic>
      <xdr:sp macro="" textlink="">
        <xdr:nvSpPr>
          <xdr:cNvPr id="80" name="Oval 79">
            <a:extLst>
              <a:ext uri="{FF2B5EF4-FFF2-40B4-BE49-F238E27FC236}">
                <a16:creationId xmlns:a16="http://schemas.microsoft.com/office/drawing/2014/main" id="{00000000-0008-0000-0000-000050000000}"/>
              </a:ext>
            </a:extLst>
          </xdr:cNvPr>
          <xdr:cNvSpPr/>
        </xdr:nvSpPr>
        <xdr:spPr>
          <a:xfrm>
            <a:off x="2847975" y="32880300"/>
            <a:ext cx="895350" cy="438150"/>
          </a:xfrm>
          <a:prstGeom prst="ellipse">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1</xdr:col>
      <xdr:colOff>152400</xdr:colOff>
      <xdr:row>71</xdr:row>
      <xdr:rowOff>142875</xdr:rowOff>
    </xdr:from>
    <xdr:to>
      <xdr:col>1</xdr:col>
      <xdr:colOff>1419070</xdr:colOff>
      <xdr:row>76</xdr:row>
      <xdr:rowOff>85618</xdr:rowOff>
    </xdr:to>
    <xdr:grpSp>
      <xdr:nvGrpSpPr>
        <xdr:cNvPr id="8" name="Group 7" descr="Screenshot of home ribbon, cells section with Insert and Delete highlighted.">
          <a:extLst>
            <a:ext uri="{FF2B5EF4-FFF2-40B4-BE49-F238E27FC236}">
              <a16:creationId xmlns:a16="http://schemas.microsoft.com/office/drawing/2014/main" id="{00000000-0008-0000-0000-000008000000}"/>
            </a:ext>
          </a:extLst>
        </xdr:cNvPr>
        <xdr:cNvGrpSpPr/>
      </xdr:nvGrpSpPr>
      <xdr:grpSpPr>
        <a:xfrm>
          <a:off x="2886075" y="13960475"/>
          <a:ext cx="1269845" cy="853968"/>
          <a:chOff x="2762250" y="33432750"/>
          <a:chExt cx="1266670" cy="895243"/>
        </a:xfrm>
      </xdr:grpSpPr>
      <xdr:pic>
        <xdr:nvPicPr>
          <xdr:cNvPr id="6" name="Picture 5">
            <a:extLst>
              <a:ext uri="{FF2B5EF4-FFF2-40B4-BE49-F238E27FC236}">
                <a16:creationId xmlns:a16="http://schemas.microsoft.com/office/drawing/2014/main" id="{00000000-0008-0000-0000-000006000000}"/>
              </a:ext>
            </a:extLst>
          </xdr:cNvPr>
          <xdr:cNvPicPr>
            <a:picLocks noChangeAspect="1"/>
          </xdr:cNvPicPr>
        </xdr:nvPicPr>
        <xdr:blipFill>
          <a:blip xmlns:r="http://schemas.openxmlformats.org/officeDocument/2006/relationships" r:embed="rId12"/>
          <a:stretch>
            <a:fillRect/>
          </a:stretch>
        </xdr:blipFill>
        <xdr:spPr>
          <a:xfrm>
            <a:off x="2790825" y="33470850"/>
            <a:ext cx="1238095" cy="857143"/>
          </a:xfrm>
          <a:prstGeom prst="rect">
            <a:avLst/>
          </a:prstGeom>
          <a:ln>
            <a:solidFill>
              <a:schemeClr val="tx1"/>
            </a:solidFill>
          </a:ln>
        </xdr:spPr>
      </xdr:pic>
      <xdr:sp macro="" textlink="">
        <xdr:nvSpPr>
          <xdr:cNvPr id="89" name="Oval 88">
            <a:extLst>
              <a:ext uri="{FF2B5EF4-FFF2-40B4-BE49-F238E27FC236}">
                <a16:creationId xmlns:a16="http://schemas.microsoft.com/office/drawing/2014/main" id="{00000000-0008-0000-0000-000059000000}"/>
              </a:ext>
            </a:extLst>
          </xdr:cNvPr>
          <xdr:cNvSpPr/>
        </xdr:nvSpPr>
        <xdr:spPr>
          <a:xfrm>
            <a:off x="2762250" y="33432750"/>
            <a:ext cx="904875" cy="752475"/>
          </a:xfrm>
          <a:prstGeom prst="ellipse">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editAs="oneCell">
    <xdr:from>
      <xdr:col>1</xdr:col>
      <xdr:colOff>1809750</xdr:colOff>
      <xdr:row>79</xdr:row>
      <xdr:rowOff>90195</xdr:rowOff>
    </xdr:from>
    <xdr:to>
      <xdr:col>2</xdr:col>
      <xdr:colOff>476037</xdr:colOff>
      <xdr:row>84</xdr:row>
      <xdr:rowOff>47518</xdr:rowOff>
    </xdr:to>
    <xdr:pic>
      <xdr:nvPicPr>
        <xdr:cNvPr id="9" name="Picture 8" descr="Screenshot of format painter tool. Format same as above is selected.">
          <a:extLst>
            <a:ext uri="{FF2B5EF4-FFF2-40B4-BE49-F238E27FC236}">
              <a16:creationId xmlns:a16="http://schemas.microsoft.com/office/drawing/2014/main" id="{00000000-0008-0000-0000-000009000000}"/>
            </a:ext>
          </a:extLst>
        </xdr:cNvPr>
        <xdr:cNvPicPr>
          <a:picLocks noChangeAspect="1"/>
        </xdr:cNvPicPr>
      </xdr:nvPicPr>
      <xdr:blipFill>
        <a:blip xmlns:r="http://schemas.openxmlformats.org/officeDocument/2006/relationships" r:embed="rId13"/>
        <a:stretch>
          <a:fillRect/>
        </a:stretch>
      </xdr:blipFill>
      <xdr:spPr>
        <a:xfrm>
          <a:off x="4419600" y="35094570"/>
          <a:ext cx="1809537" cy="909823"/>
        </a:xfrm>
        <a:prstGeom prst="rect">
          <a:avLst/>
        </a:prstGeom>
        <a:ln>
          <a:solidFill>
            <a:schemeClr val="tx1"/>
          </a:solidFill>
        </a:ln>
      </xdr:spPr>
    </xdr:pic>
    <xdr:clientData/>
  </xdr:twoCellAnchor>
  <xdr:twoCellAnchor>
    <xdr:from>
      <xdr:col>1</xdr:col>
      <xdr:colOff>85725</xdr:colOff>
      <xdr:row>90</xdr:row>
      <xdr:rowOff>142875</xdr:rowOff>
    </xdr:from>
    <xdr:to>
      <xdr:col>1</xdr:col>
      <xdr:colOff>1961915</xdr:colOff>
      <xdr:row>96</xdr:row>
      <xdr:rowOff>152399</xdr:rowOff>
    </xdr:to>
    <xdr:grpSp>
      <xdr:nvGrpSpPr>
        <xdr:cNvPr id="12" name="Group 11" descr="Screenshot of right click on a row or column menu, showing hide and unhide highlighted.">
          <a:extLst>
            <a:ext uri="{FF2B5EF4-FFF2-40B4-BE49-F238E27FC236}">
              <a16:creationId xmlns:a16="http://schemas.microsoft.com/office/drawing/2014/main" id="{00000000-0008-0000-0000-00000C000000}"/>
            </a:ext>
          </a:extLst>
        </xdr:cNvPr>
        <xdr:cNvGrpSpPr/>
      </xdr:nvGrpSpPr>
      <xdr:grpSpPr>
        <a:xfrm>
          <a:off x="2816225" y="17399000"/>
          <a:ext cx="1879365" cy="1098549"/>
          <a:chOff x="2695575" y="37242750"/>
          <a:chExt cx="1876190" cy="1152524"/>
        </a:xfrm>
      </xdr:grpSpPr>
      <xdr:pic>
        <xdr:nvPicPr>
          <xdr:cNvPr id="10" name="Picture 9">
            <a:extLst>
              <a:ext uri="{FF2B5EF4-FFF2-40B4-BE49-F238E27FC236}">
                <a16:creationId xmlns:a16="http://schemas.microsoft.com/office/drawing/2014/main" id="{00000000-0008-0000-0000-00000A000000}"/>
              </a:ext>
            </a:extLst>
          </xdr:cNvPr>
          <xdr:cNvPicPr>
            <a:picLocks noChangeAspect="1"/>
          </xdr:cNvPicPr>
        </xdr:nvPicPr>
        <xdr:blipFill>
          <a:blip xmlns:r="http://schemas.openxmlformats.org/officeDocument/2006/relationships" r:embed="rId14"/>
          <a:stretch>
            <a:fillRect/>
          </a:stretch>
        </xdr:blipFill>
        <xdr:spPr>
          <a:xfrm>
            <a:off x="2695575" y="37242750"/>
            <a:ext cx="1876190" cy="1133333"/>
          </a:xfrm>
          <a:prstGeom prst="rect">
            <a:avLst/>
          </a:prstGeom>
          <a:ln>
            <a:solidFill>
              <a:schemeClr val="tx1"/>
            </a:solidFill>
          </a:ln>
        </xdr:spPr>
      </xdr:pic>
      <xdr:sp macro="" textlink="">
        <xdr:nvSpPr>
          <xdr:cNvPr id="93" name="Oval 92">
            <a:extLst>
              <a:ext uri="{FF2B5EF4-FFF2-40B4-BE49-F238E27FC236}">
                <a16:creationId xmlns:a16="http://schemas.microsoft.com/office/drawing/2014/main" id="{00000000-0008-0000-0000-00005D000000}"/>
              </a:ext>
            </a:extLst>
          </xdr:cNvPr>
          <xdr:cNvSpPr/>
        </xdr:nvSpPr>
        <xdr:spPr>
          <a:xfrm>
            <a:off x="2733675" y="37995225"/>
            <a:ext cx="866775" cy="400049"/>
          </a:xfrm>
          <a:prstGeom prst="ellipse">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1</xdr:col>
      <xdr:colOff>104775</xdr:colOff>
      <xdr:row>98</xdr:row>
      <xdr:rowOff>28575</xdr:rowOff>
    </xdr:from>
    <xdr:to>
      <xdr:col>1</xdr:col>
      <xdr:colOff>1371600</xdr:colOff>
      <xdr:row>102</xdr:row>
      <xdr:rowOff>123719</xdr:rowOff>
    </xdr:to>
    <xdr:grpSp>
      <xdr:nvGrpSpPr>
        <xdr:cNvPr id="15" name="Group 14" descr="Screenshot of home ribbon, cells section, highlighting the format dropdown.">
          <a:extLst>
            <a:ext uri="{FF2B5EF4-FFF2-40B4-BE49-F238E27FC236}">
              <a16:creationId xmlns:a16="http://schemas.microsoft.com/office/drawing/2014/main" id="{00000000-0008-0000-0000-00000F000000}"/>
            </a:ext>
          </a:extLst>
        </xdr:cNvPr>
        <xdr:cNvGrpSpPr/>
      </xdr:nvGrpSpPr>
      <xdr:grpSpPr>
        <a:xfrm>
          <a:off x="2835275" y="18732500"/>
          <a:ext cx="1270000" cy="825394"/>
          <a:chOff x="2714625" y="38652450"/>
          <a:chExt cx="1266825" cy="857144"/>
        </a:xfrm>
      </xdr:grpSpPr>
      <xdr:pic>
        <xdr:nvPicPr>
          <xdr:cNvPr id="13" name="Picture 12">
            <a:extLst>
              <a:ext uri="{FF2B5EF4-FFF2-40B4-BE49-F238E27FC236}">
                <a16:creationId xmlns:a16="http://schemas.microsoft.com/office/drawing/2014/main" id="{00000000-0008-0000-0000-00000D000000}"/>
              </a:ext>
            </a:extLst>
          </xdr:cNvPr>
          <xdr:cNvPicPr>
            <a:picLocks noChangeAspect="1"/>
          </xdr:cNvPicPr>
        </xdr:nvPicPr>
        <xdr:blipFill>
          <a:blip xmlns:r="http://schemas.openxmlformats.org/officeDocument/2006/relationships" r:embed="rId15"/>
          <a:stretch>
            <a:fillRect/>
          </a:stretch>
        </xdr:blipFill>
        <xdr:spPr>
          <a:xfrm>
            <a:off x="2714625" y="38661975"/>
            <a:ext cx="1228571" cy="847619"/>
          </a:xfrm>
          <a:prstGeom prst="rect">
            <a:avLst/>
          </a:prstGeom>
          <a:ln>
            <a:solidFill>
              <a:schemeClr val="tx1"/>
            </a:solidFill>
          </a:ln>
        </xdr:spPr>
      </xdr:pic>
      <xdr:sp macro="" textlink="">
        <xdr:nvSpPr>
          <xdr:cNvPr id="94" name="Oval 93">
            <a:extLst>
              <a:ext uri="{FF2B5EF4-FFF2-40B4-BE49-F238E27FC236}">
                <a16:creationId xmlns:a16="http://schemas.microsoft.com/office/drawing/2014/main" id="{00000000-0008-0000-0000-00005E000000}"/>
              </a:ext>
            </a:extLst>
          </xdr:cNvPr>
          <xdr:cNvSpPr/>
        </xdr:nvSpPr>
        <xdr:spPr>
          <a:xfrm>
            <a:off x="3486150" y="38652450"/>
            <a:ext cx="495300" cy="704850"/>
          </a:xfrm>
          <a:prstGeom prst="ellipse">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1</xdr:col>
      <xdr:colOff>2314575</xdr:colOff>
      <xdr:row>93</xdr:row>
      <xdr:rowOff>123825</xdr:rowOff>
    </xdr:from>
    <xdr:to>
      <xdr:col>2</xdr:col>
      <xdr:colOff>2066925</xdr:colOff>
      <xdr:row>103</xdr:row>
      <xdr:rowOff>18825</xdr:rowOff>
    </xdr:to>
    <xdr:grpSp>
      <xdr:nvGrpSpPr>
        <xdr:cNvPr id="77" name="Group 76" descr="Screenshot showing hide &amp; unhide under the visibility heading, with the dropdown options of hide rows, hide columns, unhide rows, and unhide columns highlighted.">
          <a:extLst>
            <a:ext uri="{FF2B5EF4-FFF2-40B4-BE49-F238E27FC236}">
              <a16:creationId xmlns:a16="http://schemas.microsoft.com/office/drawing/2014/main" id="{00000000-0008-0000-0000-00004D000000}"/>
            </a:ext>
          </a:extLst>
        </xdr:cNvPr>
        <xdr:cNvGrpSpPr/>
      </xdr:nvGrpSpPr>
      <xdr:grpSpPr>
        <a:xfrm>
          <a:off x="5045075" y="17922875"/>
          <a:ext cx="3038475" cy="1707925"/>
          <a:chOff x="4924425" y="37795200"/>
          <a:chExt cx="2895600" cy="1800000"/>
        </a:xfrm>
      </xdr:grpSpPr>
      <xdr:pic>
        <xdr:nvPicPr>
          <xdr:cNvPr id="26" name="Picture 25">
            <a:extLst>
              <a:ext uri="{FF2B5EF4-FFF2-40B4-BE49-F238E27FC236}">
                <a16:creationId xmlns:a16="http://schemas.microsoft.com/office/drawing/2014/main" id="{00000000-0008-0000-0000-00001A000000}"/>
              </a:ext>
            </a:extLst>
          </xdr:cNvPr>
          <xdr:cNvPicPr>
            <a:picLocks noChangeAspect="1"/>
          </xdr:cNvPicPr>
        </xdr:nvPicPr>
        <xdr:blipFill>
          <a:blip xmlns:r="http://schemas.openxmlformats.org/officeDocument/2006/relationships" r:embed="rId16"/>
          <a:stretch>
            <a:fillRect/>
          </a:stretch>
        </xdr:blipFill>
        <xdr:spPr>
          <a:xfrm>
            <a:off x="4924425" y="37795200"/>
            <a:ext cx="2866667" cy="1800000"/>
          </a:xfrm>
          <a:prstGeom prst="rect">
            <a:avLst/>
          </a:prstGeom>
          <a:ln>
            <a:solidFill>
              <a:schemeClr val="tx1"/>
            </a:solidFill>
          </a:ln>
        </xdr:spPr>
      </xdr:pic>
      <xdr:sp macro="" textlink="">
        <xdr:nvSpPr>
          <xdr:cNvPr id="95" name="Oval 94">
            <a:extLst>
              <a:ext uri="{FF2B5EF4-FFF2-40B4-BE49-F238E27FC236}">
                <a16:creationId xmlns:a16="http://schemas.microsoft.com/office/drawing/2014/main" id="{00000000-0008-0000-0000-00005F000000}"/>
              </a:ext>
            </a:extLst>
          </xdr:cNvPr>
          <xdr:cNvSpPr/>
        </xdr:nvSpPr>
        <xdr:spPr>
          <a:xfrm>
            <a:off x="4972050" y="38185725"/>
            <a:ext cx="1238250" cy="295275"/>
          </a:xfrm>
          <a:prstGeom prst="ellipse">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96" name="Oval 95">
            <a:extLst>
              <a:ext uri="{FF2B5EF4-FFF2-40B4-BE49-F238E27FC236}">
                <a16:creationId xmlns:a16="http://schemas.microsoft.com/office/drawing/2014/main" id="{00000000-0008-0000-0000-000060000000}"/>
              </a:ext>
            </a:extLst>
          </xdr:cNvPr>
          <xdr:cNvSpPr/>
        </xdr:nvSpPr>
        <xdr:spPr>
          <a:xfrm>
            <a:off x="6572250" y="38261925"/>
            <a:ext cx="1238250" cy="447675"/>
          </a:xfrm>
          <a:prstGeom prst="ellipse">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97" name="Oval 96">
            <a:extLst>
              <a:ext uri="{FF2B5EF4-FFF2-40B4-BE49-F238E27FC236}">
                <a16:creationId xmlns:a16="http://schemas.microsoft.com/office/drawing/2014/main" id="{00000000-0008-0000-0000-000061000000}"/>
              </a:ext>
            </a:extLst>
          </xdr:cNvPr>
          <xdr:cNvSpPr/>
        </xdr:nvSpPr>
        <xdr:spPr>
          <a:xfrm>
            <a:off x="6657975" y="38957250"/>
            <a:ext cx="1162050" cy="485775"/>
          </a:xfrm>
          <a:prstGeom prst="ellipse">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editAs="oneCell">
    <xdr:from>
      <xdr:col>2</xdr:col>
      <xdr:colOff>1323975</xdr:colOff>
      <xdr:row>237</xdr:row>
      <xdr:rowOff>76201</xdr:rowOff>
    </xdr:from>
    <xdr:to>
      <xdr:col>3</xdr:col>
      <xdr:colOff>2419350</xdr:colOff>
      <xdr:row>251</xdr:row>
      <xdr:rowOff>107195</xdr:rowOff>
    </xdr:to>
    <xdr:pic>
      <xdr:nvPicPr>
        <xdr:cNvPr id="102" name="Picture 101" descr="Screenshot of all styles options in the home ribbon, style section, cell styles dropdown.">
          <a:extLst>
            <a:ext uri="{FF2B5EF4-FFF2-40B4-BE49-F238E27FC236}">
              <a16:creationId xmlns:a16="http://schemas.microsoft.com/office/drawing/2014/main" id="{00000000-0008-0000-0000-000066000000}"/>
            </a:ext>
          </a:extLst>
        </xdr:cNvPr>
        <xdr:cNvPicPr>
          <a:picLocks noChangeAspect="1"/>
        </xdr:cNvPicPr>
      </xdr:nvPicPr>
      <xdr:blipFill>
        <a:blip xmlns:r="http://schemas.openxmlformats.org/officeDocument/2006/relationships" r:embed="rId17"/>
        <a:stretch>
          <a:fillRect/>
        </a:stretch>
      </xdr:blipFill>
      <xdr:spPr>
        <a:xfrm>
          <a:off x="7077075" y="39843076"/>
          <a:ext cx="4095750" cy="2697994"/>
        </a:xfrm>
        <a:prstGeom prst="rect">
          <a:avLst/>
        </a:prstGeom>
        <a:ln>
          <a:solidFill>
            <a:schemeClr val="tx1"/>
          </a:solidFill>
        </a:ln>
      </xdr:spPr>
    </xdr:pic>
    <xdr:clientData/>
  </xdr:twoCellAnchor>
  <xdr:twoCellAnchor>
    <xdr:from>
      <xdr:col>1</xdr:col>
      <xdr:colOff>114300</xdr:colOff>
      <xdr:row>238</xdr:row>
      <xdr:rowOff>171450</xdr:rowOff>
    </xdr:from>
    <xdr:to>
      <xdr:col>2</xdr:col>
      <xdr:colOff>399621</xdr:colOff>
      <xdr:row>243</xdr:row>
      <xdr:rowOff>28474</xdr:rowOff>
    </xdr:to>
    <xdr:pic>
      <xdr:nvPicPr>
        <xdr:cNvPr id="100" name="Picture 99" descr="Screenshot of home ribbon, style section, showing formatting options.">
          <a:extLst>
            <a:ext uri="{FF2B5EF4-FFF2-40B4-BE49-F238E27FC236}">
              <a16:creationId xmlns:a16="http://schemas.microsoft.com/office/drawing/2014/main" id="{00000000-0008-0000-0000-000064000000}"/>
            </a:ext>
          </a:extLst>
        </xdr:cNvPr>
        <xdr:cNvPicPr>
          <a:picLocks noChangeAspect="1"/>
        </xdr:cNvPicPr>
      </xdr:nvPicPr>
      <xdr:blipFill>
        <a:blip xmlns:r="http://schemas.openxmlformats.org/officeDocument/2006/relationships" r:embed="rId18"/>
        <a:stretch>
          <a:fillRect/>
        </a:stretch>
      </xdr:blipFill>
      <xdr:spPr>
        <a:xfrm>
          <a:off x="2724150" y="40128825"/>
          <a:ext cx="3428571" cy="809524"/>
        </a:xfrm>
        <a:prstGeom prst="rect">
          <a:avLst/>
        </a:prstGeom>
        <a:ln>
          <a:solidFill>
            <a:schemeClr val="tx1"/>
          </a:solidFill>
        </a:ln>
      </xdr:spPr>
    </xdr:pic>
    <xdr:clientData/>
  </xdr:twoCellAnchor>
  <xdr:twoCellAnchor>
    <xdr:from>
      <xdr:col>2</xdr:col>
      <xdr:colOff>95249</xdr:colOff>
      <xdr:row>240</xdr:row>
      <xdr:rowOff>95249</xdr:rowOff>
    </xdr:from>
    <xdr:to>
      <xdr:col>2</xdr:col>
      <xdr:colOff>466725</xdr:colOff>
      <xdr:row>242</xdr:row>
      <xdr:rowOff>57150</xdr:rowOff>
    </xdr:to>
    <xdr:sp macro="" textlink="">
      <xdr:nvSpPr>
        <xdr:cNvPr id="101" name="Oval 100">
          <a:extLst>
            <a:ext uri="{FF2B5EF4-FFF2-40B4-BE49-F238E27FC236}">
              <a16:creationId xmlns:a16="http://schemas.microsoft.com/office/drawing/2014/main" id="{00000000-0008-0000-0000-000065000000}"/>
            </a:ext>
            <a:ext uri="{C183D7F6-B498-43B3-948B-1728B52AA6E4}">
              <adec:decorative xmlns:adec="http://schemas.microsoft.com/office/drawing/2017/decorative" val="1"/>
            </a:ext>
          </a:extLst>
        </xdr:cNvPr>
        <xdr:cNvSpPr/>
      </xdr:nvSpPr>
      <xdr:spPr>
        <a:xfrm>
          <a:off x="5848349" y="40433624"/>
          <a:ext cx="371476" cy="342901"/>
        </a:xfrm>
        <a:prstGeom prst="ellipse">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514350</xdr:colOff>
      <xdr:row>241</xdr:row>
      <xdr:rowOff>76200</xdr:rowOff>
    </xdr:from>
    <xdr:to>
      <xdr:col>2</xdr:col>
      <xdr:colOff>1276350</xdr:colOff>
      <xdr:row>241</xdr:row>
      <xdr:rowOff>85726</xdr:rowOff>
    </xdr:to>
    <xdr:cxnSp macro="">
      <xdr:nvCxnSpPr>
        <xdr:cNvPr id="105" name="Connecteur droit avec flèche 4">
          <a:extLst>
            <a:ext uri="{FF2B5EF4-FFF2-40B4-BE49-F238E27FC236}">
              <a16:creationId xmlns:a16="http://schemas.microsoft.com/office/drawing/2014/main" id="{00000000-0008-0000-0000-000069000000}"/>
            </a:ext>
            <a:ext uri="{C183D7F6-B498-43B3-948B-1728B52AA6E4}">
              <adec:decorative xmlns:adec="http://schemas.microsoft.com/office/drawing/2017/decorative" val="1"/>
            </a:ext>
          </a:extLst>
        </xdr:cNvPr>
        <xdr:cNvCxnSpPr/>
      </xdr:nvCxnSpPr>
      <xdr:spPr>
        <a:xfrm flipV="1">
          <a:off x="6267450" y="40605075"/>
          <a:ext cx="762000" cy="9526"/>
        </a:xfrm>
        <a:prstGeom prst="straightConnector1">
          <a:avLst/>
        </a:prstGeom>
        <a:ln w="28575">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1019175</xdr:colOff>
      <xdr:row>244</xdr:row>
      <xdr:rowOff>95250</xdr:rowOff>
    </xdr:from>
    <xdr:to>
      <xdr:col>1</xdr:col>
      <xdr:colOff>2123937</xdr:colOff>
      <xdr:row>248</xdr:row>
      <xdr:rowOff>180869</xdr:rowOff>
    </xdr:to>
    <xdr:pic>
      <xdr:nvPicPr>
        <xdr:cNvPr id="106" name="Picture 105" descr="Screenshot of page layout ribbon, themes section, showing spreadsheet formatting options.">
          <a:extLst>
            <a:ext uri="{FF2B5EF4-FFF2-40B4-BE49-F238E27FC236}">
              <a16:creationId xmlns:a16="http://schemas.microsoft.com/office/drawing/2014/main" id="{00000000-0008-0000-0000-00006A000000}"/>
            </a:ext>
          </a:extLst>
        </xdr:cNvPr>
        <xdr:cNvPicPr>
          <a:picLocks noChangeAspect="1"/>
        </xdr:cNvPicPr>
      </xdr:nvPicPr>
      <xdr:blipFill>
        <a:blip xmlns:r="http://schemas.openxmlformats.org/officeDocument/2006/relationships" r:embed="rId19"/>
        <a:stretch>
          <a:fillRect/>
        </a:stretch>
      </xdr:blipFill>
      <xdr:spPr>
        <a:xfrm>
          <a:off x="3629025" y="41195625"/>
          <a:ext cx="1104762" cy="847619"/>
        </a:xfrm>
        <a:prstGeom prst="rect">
          <a:avLst/>
        </a:prstGeom>
        <a:ln>
          <a:solidFill>
            <a:schemeClr val="tx1"/>
          </a:solidFill>
        </a:ln>
      </xdr:spPr>
    </xdr:pic>
    <xdr:clientData/>
  </xdr:twoCellAnchor>
  <xdr:twoCellAnchor>
    <xdr:from>
      <xdr:col>1</xdr:col>
      <xdr:colOff>9526</xdr:colOff>
      <xdr:row>258</xdr:row>
      <xdr:rowOff>95249</xdr:rowOff>
    </xdr:from>
    <xdr:to>
      <xdr:col>2</xdr:col>
      <xdr:colOff>332946</xdr:colOff>
      <xdr:row>263</xdr:row>
      <xdr:rowOff>9524</xdr:rowOff>
    </xdr:to>
    <xdr:grpSp>
      <xdr:nvGrpSpPr>
        <xdr:cNvPr id="45" name="Group 44" descr="Screenshot of home ribbon, styles section, highlighting the conditional formatting option.">
          <a:extLst>
            <a:ext uri="{FF2B5EF4-FFF2-40B4-BE49-F238E27FC236}">
              <a16:creationId xmlns:a16="http://schemas.microsoft.com/office/drawing/2014/main" id="{00000000-0008-0000-0000-00002D000000}"/>
            </a:ext>
          </a:extLst>
        </xdr:cNvPr>
        <xdr:cNvGrpSpPr/>
      </xdr:nvGrpSpPr>
      <xdr:grpSpPr>
        <a:xfrm>
          <a:off x="2740026" y="48244124"/>
          <a:ext cx="3615895" cy="850900"/>
          <a:chOff x="2619376" y="43853099"/>
          <a:chExt cx="3466670" cy="866775"/>
        </a:xfrm>
      </xdr:grpSpPr>
      <xdr:pic>
        <xdr:nvPicPr>
          <xdr:cNvPr id="98" name="Picture 97">
            <a:extLst>
              <a:ext uri="{FF2B5EF4-FFF2-40B4-BE49-F238E27FC236}">
                <a16:creationId xmlns:a16="http://schemas.microsoft.com/office/drawing/2014/main" id="{00000000-0008-0000-0000-000062000000}"/>
              </a:ext>
            </a:extLst>
          </xdr:cNvPr>
          <xdr:cNvPicPr>
            <a:picLocks noChangeAspect="1"/>
          </xdr:cNvPicPr>
        </xdr:nvPicPr>
        <xdr:blipFill>
          <a:blip xmlns:r="http://schemas.openxmlformats.org/officeDocument/2006/relationships" r:embed="rId18"/>
          <a:stretch>
            <a:fillRect/>
          </a:stretch>
        </xdr:blipFill>
        <xdr:spPr>
          <a:xfrm>
            <a:off x="2657475" y="43881675"/>
            <a:ext cx="3428571" cy="809524"/>
          </a:xfrm>
          <a:prstGeom prst="rect">
            <a:avLst/>
          </a:prstGeom>
          <a:ln>
            <a:solidFill>
              <a:schemeClr val="tx1"/>
            </a:solidFill>
          </a:ln>
        </xdr:spPr>
      </xdr:pic>
      <xdr:sp macro="" textlink="">
        <xdr:nvSpPr>
          <xdr:cNvPr id="99" name="Oval 98">
            <a:extLst>
              <a:ext uri="{FF2B5EF4-FFF2-40B4-BE49-F238E27FC236}">
                <a16:creationId xmlns:a16="http://schemas.microsoft.com/office/drawing/2014/main" id="{00000000-0008-0000-0000-000063000000}"/>
              </a:ext>
            </a:extLst>
          </xdr:cNvPr>
          <xdr:cNvSpPr/>
        </xdr:nvSpPr>
        <xdr:spPr>
          <a:xfrm>
            <a:off x="2619376" y="43853099"/>
            <a:ext cx="742950" cy="866775"/>
          </a:xfrm>
          <a:prstGeom prst="ellipse">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0</xdr:col>
      <xdr:colOff>2562225</xdr:colOff>
      <xdr:row>265</xdr:row>
      <xdr:rowOff>85724</xdr:rowOff>
    </xdr:from>
    <xdr:to>
      <xdr:col>1</xdr:col>
      <xdr:colOff>1876425</xdr:colOff>
      <xdr:row>269</xdr:row>
      <xdr:rowOff>161820</xdr:rowOff>
    </xdr:to>
    <xdr:grpSp>
      <xdr:nvGrpSpPr>
        <xdr:cNvPr id="53" name="Group 52" descr="Screenshot of conditional formatting dropdown. Highlight cells rules is highlighted.">
          <a:extLst>
            <a:ext uri="{FF2B5EF4-FFF2-40B4-BE49-F238E27FC236}">
              <a16:creationId xmlns:a16="http://schemas.microsoft.com/office/drawing/2014/main" id="{00000000-0008-0000-0000-000035000000}"/>
            </a:ext>
          </a:extLst>
        </xdr:cNvPr>
        <xdr:cNvGrpSpPr/>
      </xdr:nvGrpSpPr>
      <xdr:grpSpPr>
        <a:xfrm>
          <a:off x="2559050" y="49533174"/>
          <a:ext cx="2047875" cy="799996"/>
          <a:chOff x="2562225" y="45177074"/>
          <a:chExt cx="1924050" cy="838096"/>
        </a:xfrm>
      </xdr:grpSpPr>
      <xdr:pic>
        <xdr:nvPicPr>
          <xdr:cNvPr id="4" name="Picture 3">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20"/>
          <a:stretch>
            <a:fillRect/>
          </a:stretch>
        </xdr:blipFill>
        <xdr:spPr>
          <a:xfrm>
            <a:off x="2647950" y="45177075"/>
            <a:ext cx="1695238" cy="838095"/>
          </a:xfrm>
          <a:prstGeom prst="rect">
            <a:avLst/>
          </a:prstGeom>
          <a:ln>
            <a:solidFill>
              <a:sysClr val="windowText" lastClr="000000"/>
            </a:solidFill>
          </a:ln>
        </xdr:spPr>
      </xdr:pic>
      <xdr:sp macro="" textlink="">
        <xdr:nvSpPr>
          <xdr:cNvPr id="103" name="Oval 102">
            <a:extLst>
              <a:ext uri="{FF2B5EF4-FFF2-40B4-BE49-F238E27FC236}">
                <a16:creationId xmlns:a16="http://schemas.microsoft.com/office/drawing/2014/main" id="{00000000-0008-0000-0000-000067000000}"/>
              </a:ext>
            </a:extLst>
          </xdr:cNvPr>
          <xdr:cNvSpPr/>
        </xdr:nvSpPr>
        <xdr:spPr>
          <a:xfrm>
            <a:off x="2562225" y="45177074"/>
            <a:ext cx="1924050" cy="476251"/>
          </a:xfrm>
          <a:prstGeom prst="ellipse">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0</xdr:col>
      <xdr:colOff>2438400</xdr:colOff>
      <xdr:row>273</xdr:row>
      <xdr:rowOff>66675</xdr:rowOff>
    </xdr:from>
    <xdr:to>
      <xdr:col>2</xdr:col>
      <xdr:colOff>447675</xdr:colOff>
      <xdr:row>284</xdr:row>
      <xdr:rowOff>123825</xdr:rowOff>
    </xdr:to>
    <xdr:grpSp>
      <xdr:nvGrpSpPr>
        <xdr:cNvPr id="51" name="Group 50" descr="Screenshot of conditional formatting dropdown, highlight cell rules dropdown, text that contains option is highlighted.">
          <a:extLst>
            <a:ext uri="{FF2B5EF4-FFF2-40B4-BE49-F238E27FC236}">
              <a16:creationId xmlns:a16="http://schemas.microsoft.com/office/drawing/2014/main" id="{00000000-0008-0000-0000-000033000000}"/>
            </a:ext>
          </a:extLst>
        </xdr:cNvPr>
        <xdr:cNvGrpSpPr/>
      </xdr:nvGrpSpPr>
      <xdr:grpSpPr>
        <a:xfrm>
          <a:off x="2438400" y="50955575"/>
          <a:ext cx="4025900" cy="2047875"/>
          <a:chOff x="2438400" y="46682025"/>
          <a:chExt cx="3762375" cy="2152650"/>
        </a:xfrm>
      </xdr:grpSpPr>
      <xdr:pic>
        <xdr:nvPicPr>
          <xdr:cNvPr id="16" name="Picture 15">
            <a:extLst>
              <a:ext uri="{FF2B5EF4-FFF2-40B4-BE49-F238E27FC236}">
                <a16:creationId xmlns:a16="http://schemas.microsoft.com/office/drawing/2014/main" id="{00000000-0008-0000-0000-000010000000}"/>
              </a:ext>
            </a:extLst>
          </xdr:cNvPr>
          <xdr:cNvPicPr>
            <a:picLocks noChangeAspect="1"/>
          </xdr:cNvPicPr>
        </xdr:nvPicPr>
        <xdr:blipFill>
          <a:blip xmlns:r="http://schemas.openxmlformats.org/officeDocument/2006/relationships" r:embed="rId21"/>
          <a:stretch>
            <a:fillRect/>
          </a:stretch>
        </xdr:blipFill>
        <xdr:spPr>
          <a:xfrm>
            <a:off x="2619375" y="46729650"/>
            <a:ext cx="3428571" cy="2095238"/>
          </a:xfrm>
          <a:prstGeom prst="rect">
            <a:avLst/>
          </a:prstGeom>
          <a:ln>
            <a:solidFill>
              <a:sysClr val="windowText" lastClr="000000"/>
            </a:solidFill>
          </a:ln>
        </xdr:spPr>
      </xdr:pic>
      <xdr:sp macro="" textlink="">
        <xdr:nvSpPr>
          <xdr:cNvPr id="107" name="Oval 106">
            <a:extLst>
              <a:ext uri="{FF2B5EF4-FFF2-40B4-BE49-F238E27FC236}">
                <a16:creationId xmlns:a16="http://schemas.microsoft.com/office/drawing/2014/main" id="{00000000-0008-0000-0000-00006B000000}"/>
              </a:ext>
            </a:extLst>
          </xdr:cNvPr>
          <xdr:cNvSpPr/>
        </xdr:nvSpPr>
        <xdr:spPr>
          <a:xfrm>
            <a:off x="2438400" y="46682025"/>
            <a:ext cx="2019300" cy="457200"/>
          </a:xfrm>
          <a:prstGeom prst="ellipse">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08" name="Oval 107">
            <a:extLst>
              <a:ext uri="{FF2B5EF4-FFF2-40B4-BE49-F238E27FC236}">
                <a16:creationId xmlns:a16="http://schemas.microsoft.com/office/drawing/2014/main" id="{00000000-0008-0000-0000-00006C000000}"/>
              </a:ext>
            </a:extLst>
          </xdr:cNvPr>
          <xdr:cNvSpPr/>
        </xdr:nvSpPr>
        <xdr:spPr>
          <a:xfrm>
            <a:off x="4181475" y="48377475"/>
            <a:ext cx="2019300" cy="457200"/>
          </a:xfrm>
          <a:prstGeom prst="ellipse">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1</xdr:col>
      <xdr:colOff>152400</xdr:colOff>
      <xdr:row>287</xdr:row>
      <xdr:rowOff>85725</xdr:rowOff>
    </xdr:from>
    <xdr:to>
      <xdr:col>1</xdr:col>
      <xdr:colOff>1819069</xdr:colOff>
      <xdr:row>302</xdr:row>
      <xdr:rowOff>9177</xdr:rowOff>
    </xdr:to>
    <xdr:grpSp>
      <xdr:nvGrpSpPr>
        <xdr:cNvPr id="52" name="Group 51" descr="Screenshot of conditional formatting dropdown. Several options are highlighted: top/bottom rules, data bars, color scales, and icon sets.">
          <a:extLst>
            <a:ext uri="{FF2B5EF4-FFF2-40B4-BE49-F238E27FC236}">
              <a16:creationId xmlns:a16="http://schemas.microsoft.com/office/drawing/2014/main" id="{00000000-0008-0000-0000-000034000000}"/>
            </a:ext>
          </a:extLst>
        </xdr:cNvPr>
        <xdr:cNvGrpSpPr/>
      </xdr:nvGrpSpPr>
      <xdr:grpSpPr>
        <a:xfrm>
          <a:off x="2886075" y="53508275"/>
          <a:ext cx="1669844" cy="2644427"/>
          <a:chOff x="2762250" y="49368075"/>
          <a:chExt cx="1666669" cy="2780952"/>
        </a:xfrm>
      </xdr:grpSpPr>
      <xdr:pic>
        <xdr:nvPicPr>
          <xdr:cNvPr id="19" name="Picture 18">
            <a:extLst>
              <a:ext uri="{FF2B5EF4-FFF2-40B4-BE49-F238E27FC236}">
                <a16:creationId xmlns:a16="http://schemas.microsoft.com/office/drawing/2014/main" id="{00000000-0008-0000-0000-000013000000}"/>
              </a:ext>
            </a:extLst>
          </xdr:cNvPr>
          <xdr:cNvPicPr>
            <a:picLocks noChangeAspect="1"/>
          </xdr:cNvPicPr>
        </xdr:nvPicPr>
        <xdr:blipFill>
          <a:blip xmlns:r="http://schemas.openxmlformats.org/officeDocument/2006/relationships" r:embed="rId22"/>
          <a:stretch>
            <a:fillRect/>
          </a:stretch>
        </xdr:blipFill>
        <xdr:spPr>
          <a:xfrm>
            <a:off x="2781300" y="49368075"/>
            <a:ext cx="1647619" cy="2780952"/>
          </a:xfrm>
          <a:prstGeom prst="rect">
            <a:avLst/>
          </a:prstGeom>
          <a:ln>
            <a:solidFill>
              <a:sysClr val="windowText" lastClr="000000"/>
            </a:solidFill>
          </a:ln>
        </xdr:spPr>
      </xdr:pic>
      <xdr:sp macro="" textlink="">
        <xdr:nvSpPr>
          <xdr:cNvPr id="20" name="Rounded Rectangle 19">
            <a:extLst>
              <a:ext uri="{FF2B5EF4-FFF2-40B4-BE49-F238E27FC236}">
                <a16:creationId xmlns:a16="http://schemas.microsoft.com/office/drawing/2014/main" id="{00000000-0008-0000-0000-000014000000}"/>
              </a:ext>
            </a:extLst>
          </xdr:cNvPr>
          <xdr:cNvSpPr/>
        </xdr:nvSpPr>
        <xdr:spPr>
          <a:xfrm>
            <a:off x="2762250" y="49758600"/>
            <a:ext cx="1657350" cy="1704975"/>
          </a:xfrm>
          <a:prstGeom prst="round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2</xdr:col>
      <xdr:colOff>266700</xdr:colOff>
      <xdr:row>299</xdr:row>
      <xdr:rowOff>19050</xdr:rowOff>
    </xdr:from>
    <xdr:to>
      <xdr:col>2</xdr:col>
      <xdr:colOff>2057186</xdr:colOff>
      <xdr:row>307</xdr:row>
      <xdr:rowOff>37907</xdr:rowOff>
    </xdr:to>
    <xdr:grpSp>
      <xdr:nvGrpSpPr>
        <xdr:cNvPr id="54" name="Group 53" descr="Screenshot of conditional formatting dropdown. The New Rules... option is highlighted">
          <a:extLst>
            <a:ext uri="{FF2B5EF4-FFF2-40B4-BE49-F238E27FC236}">
              <a16:creationId xmlns:a16="http://schemas.microsoft.com/office/drawing/2014/main" id="{00000000-0008-0000-0000-000036000000}"/>
            </a:ext>
          </a:extLst>
        </xdr:cNvPr>
        <xdr:cNvGrpSpPr/>
      </xdr:nvGrpSpPr>
      <xdr:grpSpPr>
        <a:xfrm>
          <a:off x="6286500" y="55616475"/>
          <a:ext cx="1790486" cy="1466657"/>
          <a:chOff x="6019800" y="51587400"/>
          <a:chExt cx="1790486" cy="1542857"/>
        </a:xfrm>
      </xdr:grpSpPr>
      <xdr:pic>
        <xdr:nvPicPr>
          <xdr:cNvPr id="21" name="Picture 20">
            <a:extLst>
              <a:ext uri="{FF2B5EF4-FFF2-40B4-BE49-F238E27FC236}">
                <a16:creationId xmlns:a16="http://schemas.microsoft.com/office/drawing/2014/main" id="{00000000-0008-0000-0000-000015000000}"/>
              </a:ext>
            </a:extLst>
          </xdr:cNvPr>
          <xdr:cNvPicPr>
            <a:picLocks noChangeAspect="1"/>
          </xdr:cNvPicPr>
        </xdr:nvPicPr>
        <xdr:blipFill>
          <a:blip xmlns:r="http://schemas.openxmlformats.org/officeDocument/2006/relationships" r:embed="rId23"/>
          <a:stretch>
            <a:fillRect/>
          </a:stretch>
        </xdr:blipFill>
        <xdr:spPr>
          <a:xfrm>
            <a:off x="6096000" y="51587400"/>
            <a:ext cx="1714286" cy="1542857"/>
          </a:xfrm>
          <a:prstGeom prst="rect">
            <a:avLst/>
          </a:prstGeom>
          <a:ln>
            <a:solidFill>
              <a:sysClr val="windowText" lastClr="000000"/>
            </a:solidFill>
          </a:ln>
        </xdr:spPr>
      </xdr:pic>
      <xdr:sp macro="" textlink="">
        <xdr:nvSpPr>
          <xdr:cNvPr id="109" name="Oval 108">
            <a:extLst>
              <a:ext uri="{FF2B5EF4-FFF2-40B4-BE49-F238E27FC236}">
                <a16:creationId xmlns:a16="http://schemas.microsoft.com/office/drawing/2014/main" id="{00000000-0008-0000-0000-00006D000000}"/>
              </a:ext>
            </a:extLst>
          </xdr:cNvPr>
          <xdr:cNvSpPr/>
        </xdr:nvSpPr>
        <xdr:spPr>
          <a:xfrm>
            <a:off x="6019800" y="52435125"/>
            <a:ext cx="1476375" cy="247650"/>
          </a:xfrm>
          <a:prstGeom prst="ellipse">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editAs="oneCell">
    <xdr:from>
      <xdr:col>1</xdr:col>
      <xdr:colOff>38100</xdr:colOff>
      <xdr:row>307</xdr:row>
      <xdr:rowOff>161925</xdr:rowOff>
    </xdr:from>
    <xdr:to>
      <xdr:col>2</xdr:col>
      <xdr:colOff>399612</xdr:colOff>
      <xdr:row>325</xdr:row>
      <xdr:rowOff>142449</xdr:rowOff>
    </xdr:to>
    <xdr:pic>
      <xdr:nvPicPr>
        <xdr:cNvPr id="23" name="Picture 22" descr="Screenshot of New Formatting Rule menu. In the Edit the Rule Description section, the formula shows: equal mod open parentheses row open and close parentheses comma 2 close parentheses equal 0. Or =mod(row(),2)=0">
          <a:extLst>
            <a:ext uri="{FF2B5EF4-FFF2-40B4-BE49-F238E27FC236}">
              <a16:creationId xmlns:a16="http://schemas.microsoft.com/office/drawing/2014/main" id="{00000000-0008-0000-0000-000017000000}"/>
            </a:ext>
          </a:extLst>
        </xdr:cNvPr>
        <xdr:cNvPicPr>
          <a:picLocks noChangeAspect="1"/>
        </xdr:cNvPicPr>
      </xdr:nvPicPr>
      <xdr:blipFill>
        <a:blip xmlns:r="http://schemas.openxmlformats.org/officeDocument/2006/relationships" r:embed="rId24"/>
        <a:stretch>
          <a:fillRect/>
        </a:stretch>
      </xdr:blipFill>
      <xdr:spPr>
        <a:xfrm>
          <a:off x="2647950" y="53387625"/>
          <a:ext cx="3504762" cy="3409524"/>
        </a:xfrm>
        <a:prstGeom prst="rect">
          <a:avLst/>
        </a:prstGeom>
        <a:ln>
          <a:solidFill>
            <a:sysClr val="windowText" lastClr="000000"/>
          </a:solidFill>
        </a:ln>
      </xdr:spPr>
    </xdr:pic>
    <xdr:clientData/>
  </xdr:twoCellAnchor>
  <xdr:twoCellAnchor>
    <xdr:from>
      <xdr:col>0</xdr:col>
      <xdr:colOff>2571750</xdr:colOff>
      <xdr:row>334</xdr:row>
      <xdr:rowOff>28574</xdr:rowOff>
    </xdr:from>
    <xdr:to>
      <xdr:col>1</xdr:col>
      <xdr:colOff>1895245</xdr:colOff>
      <xdr:row>338</xdr:row>
      <xdr:rowOff>152301</xdr:rowOff>
    </xdr:to>
    <xdr:grpSp>
      <xdr:nvGrpSpPr>
        <xdr:cNvPr id="55" name="Group 54" descr="Screenshot of data ribbon, sort &amp; filter section, showing the sort and a-z options">
          <a:extLst>
            <a:ext uri="{FF2B5EF4-FFF2-40B4-BE49-F238E27FC236}">
              <a16:creationId xmlns:a16="http://schemas.microsoft.com/office/drawing/2014/main" id="{00000000-0008-0000-0000-000037000000}"/>
            </a:ext>
          </a:extLst>
        </xdr:cNvPr>
        <xdr:cNvGrpSpPr/>
      </xdr:nvGrpSpPr>
      <xdr:grpSpPr>
        <a:xfrm>
          <a:off x="2571750" y="62106174"/>
          <a:ext cx="2060345" cy="844452"/>
          <a:chOff x="2571750" y="58369199"/>
          <a:chExt cx="1933345" cy="885727"/>
        </a:xfrm>
      </xdr:grpSpPr>
      <xdr:pic>
        <xdr:nvPicPr>
          <xdr:cNvPr id="24" name="Picture 23">
            <a:extLst>
              <a:ext uri="{FF2B5EF4-FFF2-40B4-BE49-F238E27FC236}">
                <a16:creationId xmlns:a16="http://schemas.microsoft.com/office/drawing/2014/main" id="{00000000-0008-0000-0000-000018000000}"/>
              </a:ext>
            </a:extLst>
          </xdr:cNvPr>
          <xdr:cNvPicPr>
            <a:picLocks noChangeAspect="1"/>
          </xdr:cNvPicPr>
        </xdr:nvPicPr>
        <xdr:blipFill>
          <a:blip xmlns:r="http://schemas.openxmlformats.org/officeDocument/2006/relationships" r:embed="rId25"/>
          <a:stretch>
            <a:fillRect/>
          </a:stretch>
        </xdr:blipFill>
        <xdr:spPr>
          <a:xfrm>
            <a:off x="2667000" y="58464450"/>
            <a:ext cx="1838095" cy="790476"/>
          </a:xfrm>
          <a:prstGeom prst="rect">
            <a:avLst/>
          </a:prstGeom>
          <a:ln>
            <a:solidFill>
              <a:sysClr val="windowText" lastClr="000000"/>
            </a:solidFill>
          </a:ln>
        </xdr:spPr>
      </xdr:pic>
      <xdr:sp macro="" textlink="">
        <xdr:nvSpPr>
          <xdr:cNvPr id="110" name="Oval 109">
            <a:extLst>
              <a:ext uri="{FF2B5EF4-FFF2-40B4-BE49-F238E27FC236}">
                <a16:creationId xmlns:a16="http://schemas.microsoft.com/office/drawing/2014/main" id="{00000000-0008-0000-0000-00006E000000}"/>
              </a:ext>
            </a:extLst>
          </xdr:cNvPr>
          <xdr:cNvSpPr/>
        </xdr:nvSpPr>
        <xdr:spPr>
          <a:xfrm>
            <a:off x="2571750" y="58369199"/>
            <a:ext cx="781050" cy="742951"/>
          </a:xfrm>
          <a:prstGeom prst="ellipse">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0</xdr:col>
      <xdr:colOff>2466975</xdr:colOff>
      <xdr:row>341</xdr:row>
      <xdr:rowOff>114300</xdr:rowOff>
    </xdr:from>
    <xdr:to>
      <xdr:col>2</xdr:col>
      <xdr:colOff>2552699</xdr:colOff>
      <xdr:row>347</xdr:row>
      <xdr:rowOff>142875</xdr:rowOff>
    </xdr:to>
    <xdr:grpSp>
      <xdr:nvGrpSpPr>
        <xdr:cNvPr id="56" name="Group 55" descr="Screenshot of sort menu, showing my data has headers option, and sort by option.">
          <a:extLst>
            <a:ext uri="{FF2B5EF4-FFF2-40B4-BE49-F238E27FC236}">
              <a16:creationId xmlns:a16="http://schemas.microsoft.com/office/drawing/2014/main" id="{00000000-0008-0000-0000-000038000000}"/>
            </a:ext>
          </a:extLst>
        </xdr:cNvPr>
        <xdr:cNvGrpSpPr/>
      </xdr:nvGrpSpPr>
      <xdr:grpSpPr>
        <a:xfrm>
          <a:off x="2463800" y="63455550"/>
          <a:ext cx="6108699" cy="1111250"/>
          <a:chOff x="2466975" y="59788425"/>
          <a:chExt cx="5838824" cy="1171575"/>
        </a:xfrm>
      </xdr:grpSpPr>
      <xdr:pic>
        <xdr:nvPicPr>
          <xdr:cNvPr id="29" name="Picture 28">
            <a:extLst>
              <a:ext uri="{FF2B5EF4-FFF2-40B4-BE49-F238E27FC236}">
                <a16:creationId xmlns:a16="http://schemas.microsoft.com/office/drawing/2014/main" id="{00000000-0008-0000-0000-00001D000000}"/>
              </a:ext>
            </a:extLst>
          </xdr:cNvPr>
          <xdr:cNvPicPr>
            <a:picLocks noChangeAspect="1"/>
          </xdr:cNvPicPr>
        </xdr:nvPicPr>
        <xdr:blipFill>
          <a:blip xmlns:r="http://schemas.openxmlformats.org/officeDocument/2006/relationships" r:embed="rId26"/>
          <a:stretch>
            <a:fillRect/>
          </a:stretch>
        </xdr:blipFill>
        <xdr:spPr>
          <a:xfrm>
            <a:off x="2667000" y="59788425"/>
            <a:ext cx="5590476" cy="1095238"/>
          </a:xfrm>
          <a:prstGeom prst="rect">
            <a:avLst/>
          </a:prstGeom>
          <a:ln>
            <a:solidFill>
              <a:sysClr val="windowText" lastClr="000000"/>
            </a:solidFill>
          </a:ln>
        </xdr:spPr>
      </xdr:pic>
      <xdr:sp macro="" textlink="">
        <xdr:nvSpPr>
          <xdr:cNvPr id="111" name="Oval 110">
            <a:extLst>
              <a:ext uri="{FF2B5EF4-FFF2-40B4-BE49-F238E27FC236}">
                <a16:creationId xmlns:a16="http://schemas.microsoft.com/office/drawing/2014/main" id="{00000000-0008-0000-0000-00006F000000}"/>
              </a:ext>
            </a:extLst>
          </xdr:cNvPr>
          <xdr:cNvSpPr/>
        </xdr:nvSpPr>
        <xdr:spPr>
          <a:xfrm>
            <a:off x="2466975" y="60359925"/>
            <a:ext cx="2152650" cy="600075"/>
          </a:xfrm>
          <a:prstGeom prst="ellipse">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12" name="Oval 111">
            <a:extLst>
              <a:ext uri="{FF2B5EF4-FFF2-40B4-BE49-F238E27FC236}">
                <a16:creationId xmlns:a16="http://schemas.microsoft.com/office/drawing/2014/main" id="{00000000-0008-0000-0000-000070000000}"/>
              </a:ext>
            </a:extLst>
          </xdr:cNvPr>
          <xdr:cNvSpPr/>
        </xdr:nvSpPr>
        <xdr:spPr>
          <a:xfrm>
            <a:off x="6886574" y="60026551"/>
            <a:ext cx="1419225" cy="419100"/>
          </a:xfrm>
          <a:prstGeom prst="ellipse">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1</xdr:col>
      <xdr:colOff>38100</xdr:colOff>
      <xdr:row>350</xdr:row>
      <xdr:rowOff>161925</xdr:rowOff>
    </xdr:from>
    <xdr:to>
      <xdr:col>1</xdr:col>
      <xdr:colOff>1971435</xdr:colOff>
      <xdr:row>356</xdr:row>
      <xdr:rowOff>57020</xdr:rowOff>
    </xdr:to>
    <xdr:grpSp>
      <xdr:nvGrpSpPr>
        <xdr:cNvPr id="58" name="Group 57" descr="Screenshot of sort menu, showing add level option.">
          <a:extLst>
            <a:ext uri="{FF2B5EF4-FFF2-40B4-BE49-F238E27FC236}">
              <a16:creationId xmlns:a16="http://schemas.microsoft.com/office/drawing/2014/main" id="{00000000-0008-0000-0000-00003A000000}"/>
            </a:ext>
          </a:extLst>
        </xdr:cNvPr>
        <xdr:cNvGrpSpPr/>
      </xdr:nvGrpSpPr>
      <xdr:grpSpPr>
        <a:xfrm>
          <a:off x="2771775" y="65185925"/>
          <a:ext cx="1936510" cy="984120"/>
          <a:chOff x="2647950" y="61598175"/>
          <a:chExt cx="1933335" cy="1038095"/>
        </a:xfrm>
      </xdr:grpSpPr>
      <xdr:pic>
        <xdr:nvPicPr>
          <xdr:cNvPr id="31" name="Picture 30">
            <a:extLst>
              <a:ext uri="{FF2B5EF4-FFF2-40B4-BE49-F238E27FC236}">
                <a16:creationId xmlns:a16="http://schemas.microsoft.com/office/drawing/2014/main" id="{00000000-0008-0000-0000-00001F000000}"/>
              </a:ext>
            </a:extLst>
          </xdr:cNvPr>
          <xdr:cNvPicPr>
            <a:picLocks noChangeAspect="1"/>
          </xdr:cNvPicPr>
        </xdr:nvPicPr>
        <xdr:blipFill>
          <a:blip xmlns:r="http://schemas.openxmlformats.org/officeDocument/2006/relationships" r:embed="rId27"/>
          <a:stretch>
            <a:fillRect/>
          </a:stretch>
        </xdr:blipFill>
        <xdr:spPr>
          <a:xfrm>
            <a:off x="2657475" y="61598175"/>
            <a:ext cx="1923810" cy="1038095"/>
          </a:xfrm>
          <a:prstGeom prst="rect">
            <a:avLst/>
          </a:prstGeom>
          <a:ln>
            <a:solidFill>
              <a:sysClr val="windowText" lastClr="000000"/>
            </a:solidFill>
          </a:ln>
        </xdr:spPr>
      </xdr:pic>
      <xdr:sp macro="" textlink="">
        <xdr:nvSpPr>
          <xdr:cNvPr id="113" name="Oval 112">
            <a:extLst>
              <a:ext uri="{FF2B5EF4-FFF2-40B4-BE49-F238E27FC236}">
                <a16:creationId xmlns:a16="http://schemas.microsoft.com/office/drawing/2014/main" id="{00000000-0008-0000-0000-000071000000}"/>
              </a:ext>
            </a:extLst>
          </xdr:cNvPr>
          <xdr:cNvSpPr/>
        </xdr:nvSpPr>
        <xdr:spPr>
          <a:xfrm>
            <a:off x="2647950" y="61845825"/>
            <a:ext cx="1057275" cy="361950"/>
          </a:xfrm>
          <a:prstGeom prst="ellipse">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editAs="oneCell">
    <xdr:from>
      <xdr:col>1</xdr:col>
      <xdr:colOff>76200</xdr:colOff>
      <xdr:row>359</xdr:row>
      <xdr:rowOff>28575</xdr:rowOff>
    </xdr:from>
    <xdr:to>
      <xdr:col>1</xdr:col>
      <xdr:colOff>1933343</xdr:colOff>
      <xdr:row>365</xdr:row>
      <xdr:rowOff>180813</xdr:rowOff>
    </xdr:to>
    <xdr:pic>
      <xdr:nvPicPr>
        <xdr:cNvPr id="33" name="Picture 32" descr="Screenshot of sort menu, showing sort on dropdown, with cell color selected.">
          <a:extLst>
            <a:ext uri="{FF2B5EF4-FFF2-40B4-BE49-F238E27FC236}">
              <a16:creationId xmlns:a16="http://schemas.microsoft.com/office/drawing/2014/main" id="{00000000-0008-0000-0000-000021000000}"/>
            </a:ext>
          </a:extLst>
        </xdr:cNvPr>
        <xdr:cNvPicPr>
          <a:picLocks noChangeAspect="1"/>
        </xdr:cNvPicPr>
      </xdr:nvPicPr>
      <xdr:blipFill>
        <a:blip xmlns:r="http://schemas.openxmlformats.org/officeDocument/2006/relationships" r:embed="rId28"/>
        <a:stretch>
          <a:fillRect/>
        </a:stretch>
      </xdr:blipFill>
      <xdr:spPr>
        <a:xfrm>
          <a:off x="2686050" y="63369825"/>
          <a:ext cx="1857143" cy="1295238"/>
        </a:xfrm>
        <a:prstGeom prst="rect">
          <a:avLst/>
        </a:prstGeom>
        <a:ln>
          <a:solidFill>
            <a:sysClr val="windowText" lastClr="000000"/>
          </a:solidFill>
        </a:ln>
      </xdr:spPr>
    </xdr:pic>
    <xdr:clientData/>
  </xdr:twoCellAnchor>
  <xdr:twoCellAnchor>
    <xdr:from>
      <xdr:col>1</xdr:col>
      <xdr:colOff>933450</xdr:colOff>
      <xdr:row>360</xdr:row>
      <xdr:rowOff>171450</xdr:rowOff>
    </xdr:from>
    <xdr:to>
      <xdr:col>1</xdr:col>
      <xdr:colOff>2019300</xdr:colOff>
      <xdr:row>363</xdr:row>
      <xdr:rowOff>19050</xdr:rowOff>
    </xdr:to>
    <xdr:sp macro="" textlink="">
      <xdr:nvSpPr>
        <xdr:cNvPr id="114" name="Oval 113">
          <a:extLst>
            <a:ext uri="{FF2B5EF4-FFF2-40B4-BE49-F238E27FC236}">
              <a16:creationId xmlns:a16="http://schemas.microsoft.com/office/drawing/2014/main" id="{00000000-0008-0000-0000-000072000000}"/>
            </a:ext>
            <a:ext uri="{C183D7F6-B498-43B3-948B-1728B52AA6E4}">
              <adec:decorative xmlns:adec="http://schemas.microsoft.com/office/drawing/2017/decorative" val="1"/>
            </a:ext>
          </a:extLst>
        </xdr:cNvPr>
        <xdr:cNvSpPr/>
      </xdr:nvSpPr>
      <xdr:spPr>
        <a:xfrm>
          <a:off x="3543300" y="63703200"/>
          <a:ext cx="1085850" cy="419100"/>
        </a:xfrm>
        <a:prstGeom prst="ellipse">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114300</xdr:colOff>
      <xdr:row>352</xdr:row>
      <xdr:rowOff>85725</xdr:rowOff>
    </xdr:from>
    <xdr:to>
      <xdr:col>2</xdr:col>
      <xdr:colOff>2485742</xdr:colOff>
      <xdr:row>362</xdr:row>
      <xdr:rowOff>85486</xdr:rowOff>
    </xdr:to>
    <xdr:grpSp>
      <xdr:nvGrpSpPr>
        <xdr:cNvPr id="59" name="Group 58" descr="Screenshot of options... button in sort menu. Screenshot of sort options menu, showing sort left to right.">
          <a:extLst>
            <a:ext uri="{FF2B5EF4-FFF2-40B4-BE49-F238E27FC236}">
              <a16:creationId xmlns:a16="http://schemas.microsoft.com/office/drawing/2014/main" id="{00000000-0008-0000-0000-00003B000000}"/>
            </a:ext>
          </a:extLst>
        </xdr:cNvPr>
        <xdr:cNvGrpSpPr/>
      </xdr:nvGrpSpPr>
      <xdr:grpSpPr>
        <a:xfrm>
          <a:off x="6134100" y="65471675"/>
          <a:ext cx="2374617" cy="1882536"/>
          <a:chOff x="5867400" y="61902975"/>
          <a:chExt cx="2371442" cy="1961911"/>
        </a:xfrm>
      </xdr:grpSpPr>
      <xdr:pic>
        <xdr:nvPicPr>
          <xdr:cNvPr id="75" name="Picture 74">
            <a:extLst>
              <a:ext uri="{FF2B5EF4-FFF2-40B4-BE49-F238E27FC236}">
                <a16:creationId xmlns:a16="http://schemas.microsoft.com/office/drawing/2014/main" id="{00000000-0008-0000-0000-00004B000000}"/>
              </a:ext>
            </a:extLst>
          </xdr:cNvPr>
          <xdr:cNvPicPr>
            <a:picLocks noChangeAspect="1"/>
          </xdr:cNvPicPr>
        </xdr:nvPicPr>
        <xdr:blipFill>
          <a:blip xmlns:r="http://schemas.openxmlformats.org/officeDocument/2006/relationships" r:embed="rId29"/>
          <a:stretch>
            <a:fillRect/>
          </a:stretch>
        </xdr:blipFill>
        <xdr:spPr>
          <a:xfrm>
            <a:off x="5972175" y="61950600"/>
            <a:ext cx="2266667" cy="1914286"/>
          </a:xfrm>
          <a:prstGeom prst="rect">
            <a:avLst/>
          </a:prstGeom>
          <a:ln>
            <a:solidFill>
              <a:sysClr val="windowText" lastClr="000000"/>
            </a:solidFill>
          </a:ln>
        </xdr:spPr>
      </xdr:pic>
      <xdr:sp macro="" textlink="">
        <xdr:nvSpPr>
          <xdr:cNvPr id="115" name="Oval 114">
            <a:extLst>
              <a:ext uri="{FF2B5EF4-FFF2-40B4-BE49-F238E27FC236}">
                <a16:creationId xmlns:a16="http://schemas.microsoft.com/office/drawing/2014/main" id="{00000000-0008-0000-0000-000073000000}"/>
              </a:ext>
            </a:extLst>
          </xdr:cNvPr>
          <xdr:cNvSpPr/>
        </xdr:nvSpPr>
        <xdr:spPr>
          <a:xfrm>
            <a:off x="5867400" y="61902975"/>
            <a:ext cx="1009650" cy="457200"/>
          </a:xfrm>
          <a:prstGeom prst="ellipse">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16" name="Oval 115">
            <a:extLst>
              <a:ext uri="{FF2B5EF4-FFF2-40B4-BE49-F238E27FC236}">
                <a16:creationId xmlns:a16="http://schemas.microsoft.com/office/drawing/2014/main" id="{00000000-0008-0000-0000-000074000000}"/>
              </a:ext>
            </a:extLst>
          </xdr:cNvPr>
          <xdr:cNvSpPr/>
        </xdr:nvSpPr>
        <xdr:spPr>
          <a:xfrm>
            <a:off x="6048374" y="63207901"/>
            <a:ext cx="1323975" cy="285750"/>
          </a:xfrm>
          <a:prstGeom prst="ellipse">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1</xdr:col>
      <xdr:colOff>152400</xdr:colOff>
      <xdr:row>377</xdr:row>
      <xdr:rowOff>123825</xdr:rowOff>
    </xdr:from>
    <xdr:to>
      <xdr:col>1</xdr:col>
      <xdr:colOff>1990495</xdr:colOff>
      <xdr:row>382</xdr:row>
      <xdr:rowOff>9426</xdr:rowOff>
    </xdr:to>
    <xdr:grpSp>
      <xdr:nvGrpSpPr>
        <xdr:cNvPr id="60" name="Group 59" descr="Screenshot of data ribbon, sort &amp; filter section, with filter option highlighted.">
          <a:extLst>
            <a:ext uri="{FF2B5EF4-FFF2-40B4-BE49-F238E27FC236}">
              <a16:creationId xmlns:a16="http://schemas.microsoft.com/office/drawing/2014/main" id="{00000000-0008-0000-0000-00003C000000}"/>
            </a:ext>
          </a:extLst>
        </xdr:cNvPr>
        <xdr:cNvGrpSpPr/>
      </xdr:nvGrpSpPr>
      <xdr:grpSpPr>
        <a:xfrm>
          <a:off x="2886075" y="70234175"/>
          <a:ext cx="1841270" cy="796826"/>
          <a:chOff x="2762250" y="66865500"/>
          <a:chExt cx="1838095" cy="838101"/>
        </a:xfrm>
      </xdr:grpSpPr>
      <xdr:pic>
        <xdr:nvPicPr>
          <xdr:cNvPr id="118" name="Picture 117">
            <a:extLst>
              <a:ext uri="{FF2B5EF4-FFF2-40B4-BE49-F238E27FC236}">
                <a16:creationId xmlns:a16="http://schemas.microsoft.com/office/drawing/2014/main" id="{00000000-0008-0000-0000-000076000000}"/>
              </a:ext>
            </a:extLst>
          </xdr:cNvPr>
          <xdr:cNvPicPr>
            <a:picLocks noChangeAspect="1"/>
          </xdr:cNvPicPr>
        </xdr:nvPicPr>
        <xdr:blipFill>
          <a:blip xmlns:r="http://schemas.openxmlformats.org/officeDocument/2006/relationships" r:embed="rId25"/>
          <a:stretch>
            <a:fillRect/>
          </a:stretch>
        </xdr:blipFill>
        <xdr:spPr>
          <a:xfrm>
            <a:off x="2762250" y="66913125"/>
            <a:ext cx="1838095" cy="790476"/>
          </a:xfrm>
          <a:prstGeom prst="rect">
            <a:avLst/>
          </a:prstGeom>
          <a:ln>
            <a:solidFill>
              <a:sysClr val="windowText" lastClr="000000"/>
            </a:solidFill>
          </a:ln>
        </xdr:spPr>
      </xdr:pic>
      <xdr:sp macro="" textlink="">
        <xdr:nvSpPr>
          <xdr:cNvPr id="119" name="Oval 118">
            <a:extLst>
              <a:ext uri="{FF2B5EF4-FFF2-40B4-BE49-F238E27FC236}">
                <a16:creationId xmlns:a16="http://schemas.microsoft.com/office/drawing/2014/main" id="{00000000-0008-0000-0000-000077000000}"/>
              </a:ext>
            </a:extLst>
          </xdr:cNvPr>
          <xdr:cNvSpPr/>
        </xdr:nvSpPr>
        <xdr:spPr>
          <a:xfrm>
            <a:off x="3371850" y="66865500"/>
            <a:ext cx="542925" cy="561976"/>
          </a:xfrm>
          <a:prstGeom prst="ellipse">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editAs="oneCell">
    <xdr:from>
      <xdr:col>1</xdr:col>
      <xdr:colOff>38100</xdr:colOff>
      <xdr:row>385</xdr:row>
      <xdr:rowOff>104775</xdr:rowOff>
    </xdr:from>
    <xdr:to>
      <xdr:col>2</xdr:col>
      <xdr:colOff>656755</xdr:colOff>
      <xdr:row>394</xdr:row>
      <xdr:rowOff>37894</xdr:rowOff>
    </xdr:to>
    <xdr:pic>
      <xdr:nvPicPr>
        <xdr:cNvPr id="32" name="Picture 31" descr="Screenshot of filter dropdown, showing list of options found in the text filters dropdown. Begins with... is selected.">
          <a:extLst>
            <a:ext uri="{FF2B5EF4-FFF2-40B4-BE49-F238E27FC236}">
              <a16:creationId xmlns:a16="http://schemas.microsoft.com/office/drawing/2014/main" id="{00000000-0008-0000-0000-000020000000}"/>
            </a:ext>
          </a:extLst>
        </xdr:cNvPr>
        <xdr:cNvPicPr>
          <a:picLocks noChangeAspect="1"/>
        </xdr:cNvPicPr>
      </xdr:nvPicPr>
      <xdr:blipFill>
        <a:blip xmlns:r="http://schemas.openxmlformats.org/officeDocument/2006/relationships" r:embed="rId30"/>
        <a:stretch>
          <a:fillRect/>
        </a:stretch>
      </xdr:blipFill>
      <xdr:spPr>
        <a:xfrm>
          <a:off x="2647950" y="68313300"/>
          <a:ext cx="3761905" cy="1647619"/>
        </a:xfrm>
        <a:prstGeom prst="rect">
          <a:avLst/>
        </a:prstGeom>
        <a:ln>
          <a:solidFill>
            <a:sysClr val="windowText" lastClr="000000"/>
          </a:solidFill>
        </a:ln>
      </xdr:spPr>
    </xdr:pic>
    <xdr:clientData/>
  </xdr:twoCellAnchor>
  <xdr:twoCellAnchor editAs="oneCell">
    <xdr:from>
      <xdr:col>1</xdr:col>
      <xdr:colOff>2124075</xdr:colOff>
      <xdr:row>401</xdr:row>
      <xdr:rowOff>19050</xdr:rowOff>
    </xdr:from>
    <xdr:to>
      <xdr:col>2</xdr:col>
      <xdr:colOff>1009396</xdr:colOff>
      <xdr:row>404</xdr:row>
      <xdr:rowOff>66598</xdr:rowOff>
    </xdr:to>
    <xdr:pic>
      <xdr:nvPicPr>
        <xdr:cNvPr id="36" name="Picture 35" descr="Screenshot of data table. First column first row has heading of Pub Year. First column second row shows bigger than symbol and 2015 &gt;2015. Second column first row has heading of Binder. Second column second row contains Paper. Third column first row has heading of Publisher. Third column second row is blank. Third column third row says Routledge.">
          <a:extLst>
            <a:ext uri="{FF2B5EF4-FFF2-40B4-BE49-F238E27FC236}">
              <a16:creationId xmlns:a16="http://schemas.microsoft.com/office/drawing/2014/main" id="{00000000-0008-0000-0000-000024000000}"/>
            </a:ext>
          </a:extLst>
        </xdr:cNvPr>
        <xdr:cNvPicPr>
          <a:picLocks noChangeAspect="1"/>
        </xdr:cNvPicPr>
      </xdr:nvPicPr>
      <xdr:blipFill>
        <a:blip xmlns:r="http://schemas.openxmlformats.org/officeDocument/2006/relationships" r:embed="rId31"/>
        <a:stretch>
          <a:fillRect/>
        </a:stretch>
      </xdr:blipFill>
      <xdr:spPr>
        <a:xfrm>
          <a:off x="4733925" y="71466075"/>
          <a:ext cx="2028571" cy="619048"/>
        </a:xfrm>
        <a:prstGeom prst="rect">
          <a:avLst/>
        </a:prstGeom>
      </xdr:spPr>
    </xdr:pic>
    <xdr:clientData/>
  </xdr:twoCellAnchor>
  <xdr:twoCellAnchor>
    <xdr:from>
      <xdr:col>1</xdr:col>
      <xdr:colOff>76200</xdr:colOff>
      <xdr:row>411</xdr:row>
      <xdr:rowOff>123825</xdr:rowOff>
    </xdr:from>
    <xdr:to>
      <xdr:col>1</xdr:col>
      <xdr:colOff>2038350</xdr:colOff>
      <xdr:row>415</xdr:row>
      <xdr:rowOff>152301</xdr:rowOff>
    </xdr:to>
    <xdr:grpSp>
      <xdr:nvGrpSpPr>
        <xdr:cNvPr id="61" name="Group 60" descr="Screenshot of data ribbon, sort &amp; filter section, with the advanced option highlighted.">
          <a:extLst>
            <a:ext uri="{FF2B5EF4-FFF2-40B4-BE49-F238E27FC236}">
              <a16:creationId xmlns:a16="http://schemas.microsoft.com/office/drawing/2014/main" id="{00000000-0008-0000-0000-00003D000000}"/>
            </a:ext>
          </a:extLst>
        </xdr:cNvPr>
        <xdr:cNvGrpSpPr/>
      </xdr:nvGrpSpPr>
      <xdr:grpSpPr>
        <a:xfrm>
          <a:off x="2809875" y="76387325"/>
          <a:ext cx="1962150" cy="755551"/>
          <a:chOff x="2686050" y="73342500"/>
          <a:chExt cx="1962150" cy="790476"/>
        </a:xfrm>
      </xdr:grpSpPr>
      <xdr:pic>
        <xdr:nvPicPr>
          <xdr:cNvPr id="120" name="Picture 119">
            <a:extLst>
              <a:ext uri="{FF2B5EF4-FFF2-40B4-BE49-F238E27FC236}">
                <a16:creationId xmlns:a16="http://schemas.microsoft.com/office/drawing/2014/main" id="{00000000-0008-0000-0000-000078000000}"/>
              </a:ext>
            </a:extLst>
          </xdr:cNvPr>
          <xdr:cNvPicPr>
            <a:picLocks noChangeAspect="1"/>
          </xdr:cNvPicPr>
        </xdr:nvPicPr>
        <xdr:blipFill>
          <a:blip xmlns:r="http://schemas.openxmlformats.org/officeDocument/2006/relationships" r:embed="rId25"/>
          <a:stretch>
            <a:fillRect/>
          </a:stretch>
        </xdr:blipFill>
        <xdr:spPr>
          <a:xfrm>
            <a:off x="2686050" y="73342500"/>
            <a:ext cx="1838095" cy="790476"/>
          </a:xfrm>
          <a:prstGeom prst="rect">
            <a:avLst/>
          </a:prstGeom>
          <a:ln>
            <a:solidFill>
              <a:sysClr val="windowText" lastClr="000000"/>
            </a:solidFill>
          </a:ln>
        </xdr:spPr>
      </xdr:pic>
      <xdr:sp macro="" textlink="">
        <xdr:nvSpPr>
          <xdr:cNvPr id="121" name="Oval 120">
            <a:extLst>
              <a:ext uri="{FF2B5EF4-FFF2-40B4-BE49-F238E27FC236}">
                <a16:creationId xmlns:a16="http://schemas.microsoft.com/office/drawing/2014/main" id="{00000000-0008-0000-0000-000079000000}"/>
              </a:ext>
            </a:extLst>
          </xdr:cNvPr>
          <xdr:cNvSpPr/>
        </xdr:nvSpPr>
        <xdr:spPr>
          <a:xfrm>
            <a:off x="3705225" y="73685400"/>
            <a:ext cx="942975" cy="314325"/>
          </a:xfrm>
          <a:prstGeom prst="ellipse">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2</xdr:col>
      <xdr:colOff>762000</xdr:colOff>
      <xdr:row>407</xdr:row>
      <xdr:rowOff>38100</xdr:rowOff>
    </xdr:from>
    <xdr:to>
      <xdr:col>3</xdr:col>
      <xdr:colOff>38100</xdr:colOff>
      <xdr:row>418</xdr:row>
      <xdr:rowOff>171171</xdr:rowOff>
    </xdr:to>
    <xdr:grpSp>
      <xdr:nvGrpSpPr>
        <xdr:cNvPr id="62" name="Group 61" descr="Screenshot of advanced filter menu, highlighting the filter the list in-place and copy to another location actions, and the criteria range option.">
          <a:extLst>
            <a:ext uri="{FF2B5EF4-FFF2-40B4-BE49-F238E27FC236}">
              <a16:creationId xmlns:a16="http://schemas.microsoft.com/office/drawing/2014/main" id="{00000000-0008-0000-0000-00003E000000}"/>
            </a:ext>
          </a:extLst>
        </xdr:cNvPr>
        <xdr:cNvGrpSpPr/>
      </xdr:nvGrpSpPr>
      <xdr:grpSpPr>
        <a:xfrm>
          <a:off x="6781800" y="75580875"/>
          <a:ext cx="2419350" cy="2123796"/>
          <a:chOff x="6515100" y="72494775"/>
          <a:chExt cx="2276475" cy="2228571"/>
        </a:xfrm>
      </xdr:grpSpPr>
      <xdr:pic>
        <xdr:nvPicPr>
          <xdr:cNvPr id="37" name="Picture 36">
            <a:extLst>
              <a:ext uri="{FF2B5EF4-FFF2-40B4-BE49-F238E27FC236}">
                <a16:creationId xmlns:a16="http://schemas.microsoft.com/office/drawing/2014/main" id="{00000000-0008-0000-0000-000025000000}"/>
              </a:ext>
            </a:extLst>
          </xdr:cNvPr>
          <xdr:cNvPicPr>
            <a:picLocks noChangeAspect="1"/>
          </xdr:cNvPicPr>
        </xdr:nvPicPr>
        <xdr:blipFill>
          <a:blip xmlns:r="http://schemas.openxmlformats.org/officeDocument/2006/relationships" r:embed="rId32"/>
          <a:stretch>
            <a:fillRect/>
          </a:stretch>
        </xdr:blipFill>
        <xdr:spPr>
          <a:xfrm>
            <a:off x="6515100" y="72494775"/>
            <a:ext cx="2190476" cy="2228571"/>
          </a:xfrm>
          <a:prstGeom prst="rect">
            <a:avLst/>
          </a:prstGeom>
        </xdr:spPr>
      </xdr:pic>
      <xdr:sp macro="" textlink="">
        <xdr:nvSpPr>
          <xdr:cNvPr id="122" name="Oval 121">
            <a:extLst>
              <a:ext uri="{FF2B5EF4-FFF2-40B4-BE49-F238E27FC236}">
                <a16:creationId xmlns:a16="http://schemas.microsoft.com/office/drawing/2014/main" id="{00000000-0008-0000-0000-00007A000000}"/>
              </a:ext>
            </a:extLst>
          </xdr:cNvPr>
          <xdr:cNvSpPr/>
        </xdr:nvSpPr>
        <xdr:spPr>
          <a:xfrm>
            <a:off x="6553201" y="72913875"/>
            <a:ext cx="1828800" cy="561975"/>
          </a:xfrm>
          <a:prstGeom prst="ellipse">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23" name="Oval 122">
            <a:extLst>
              <a:ext uri="{FF2B5EF4-FFF2-40B4-BE49-F238E27FC236}">
                <a16:creationId xmlns:a16="http://schemas.microsoft.com/office/drawing/2014/main" id="{00000000-0008-0000-0000-00007B000000}"/>
              </a:ext>
            </a:extLst>
          </xdr:cNvPr>
          <xdr:cNvSpPr/>
        </xdr:nvSpPr>
        <xdr:spPr>
          <a:xfrm>
            <a:off x="6553200" y="73618724"/>
            <a:ext cx="2238375" cy="304801"/>
          </a:xfrm>
          <a:prstGeom prst="ellipse">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editAs="oneCell">
    <xdr:from>
      <xdr:col>1</xdr:col>
      <xdr:colOff>85725</xdr:colOff>
      <xdr:row>429</xdr:row>
      <xdr:rowOff>0</xdr:rowOff>
    </xdr:from>
    <xdr:to>
      <xdr:col>2</xdr:col>
      <xdr:colOff>266284</xdr:colOff>
      <xdr:row>433</xdr:row>
      <xdr:rowOff>123714</xdr:rowOff>
    </xdr:to>
    <xdr:pic>
      <xdr:nvPicPr>
        <xdr:cNvPr id="25" name="Picture 24" descr="Screenshot of page layout ribbon, page setup section. The Print Area dropdown is selected, as is the set print area option.">
          <a:extLst>
            <a:ext uri="{FF2B5EF4-FFF2-40B4-BE49-F238E27FC236}">
              <a16:creationId xmlns:a16="http://schemas.microsoft.com/office/drawing/2014/main" id="{00000000-0008-0000-0000-000019000000}"/>
            </a:ext>
          </a:extLst>
        </xdr:cNvPr>
        <xdr:cNvPicPr>
          <a:picLocks noChangeAspect="1"/>
        </xdr:cNvPicPr>
      </xdr:nvPicPr>
      <xdr:blipFill>
        <a:blip xmlns:r="http://schemas.openxmlformats.org/officeDocument/2006/relationships" r:embed="rId33"/>
        <a:stretch>
          <a:fillRect/>
        </a:stretch>
      </xdr:blipFill>
      <xdr:spPr>
        <a:xfrm>
          <a:off x="2695575" y="102565200"/>
          <a:ext cx="3323809" cy="885714"/>
        </a:xfrm>
        <a:prstGeom prst="rect">
          <a:avLst/>
        </a:prstGeom>
        <a:ln>
          <a:solidFill>
            <a:sysClr val="windowText" lastClr="000000"/>
          </a:solidFill>
        </a:ln>
      </xdr:spPr>
    </xdr:pic>
    <xdr:clientData/>
  </xdr:twoCellAnchor>
  <xdr:twoCellAnchor>
    <xdr:from>
      <xdr:col>1</xdr:col>
      <xdr:colOff>1409699</xdr:colOff>
      <xdr:row>428</xdr:row>
      <xdr:rowOff>104775</xdr:rowOff>
    </xdr:from>
    <xdr:to>
      <xdr:col>1</xdr:col>
      <xdr:colOff>2085974</xdr:colOff>
      <xdr:row>432</xdr:row>
      <xdr:rowOff>104774</xdr:rowOff>
    </xdr:to>
    <xdr:sp macro="" textlink="">
      <xdr:nvSpPr>
        <xdr:cNvPr id="117" name="Oval 116">
          <a:extLst>
            <a:ext uri="{FF2B5EF4-FFF2-40B4-BE49-F238E27FC236}">
              <a16:creationId xmlns:a16="http://schemas.microsoft.com/office/drawing/2014/main" id="{00000000-0008-0000-0000-000075000000}"/>
            </a:ext>
            <a:ext uri="{C183D7F6-B498-43B3-948B-1728B52AA6E4}">
              <adec:decorative xmlns:adec="http://schemas.microsoft.com/office/drawing/2017/decorative" val="1"/>
            </a:ext>
          </a:extLst>
        </xdr:cNvPr>
        <xdr:cNvSpPr/>
      </xdr:nvSpPr>
      <xdr:spPr>
        <a:xfrm>
          <a:off x="4019549" y="102479475"/>
          <a:ext cx="676275" cy="761999"/>
        </a:xfrm>
        <a:prstGeom prst="ellipse">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1476373</xdr:colOff>
      <xdr:row>432</xdr:row>
      <xdr:rowOff>95250</xdr:rowOff>
    </xdr:from>
    <xdr:to>
      <xdr:col>1</xdr:col>
      <xdr:colOff>2886074</xdr:colOff>
      <xdr:row>433</xdr:row>
      <xdr:rowOff>171450</xdr:rowOff>
    </xdr:to>
    <xdr:sp macro="" textlink="">
      <xdr:nvSpPr>
        <xdr:cNvPr id="124" name="Oval 123">
          <a:extLst>
            <a:ext uri="{FF2B5EF4-FFF2-40B4-BE49-F238E27FC236}">
              <a16:creationId xmlns:a16="http://schemas.microsoft.com/office/drawing/2014/main" id="{00000000-0008-0000-0000-00007C000000}"/>
            </a:ext>
            <a:ext uri="{C183D7F6-B498-43B3-948B-1728B52AA6E4}">
              <adec:decorative xmlns:adec="http://schemas.microsoft.com/office/drawing/2017/decorative" val="1"/>
            </a:ext>
          </a:extLst>
        </xdr:cNvPr>
        <xdr:cNvSpPr/>
      </xdr:nvSpPr>
      <xdr:spPr>
        <a:xfrm>
          <a:off x="4086223" y="103231950"/>
          <a:ext cx="1409701" cy="266700"/>
        </a:xfrm>
        <a:prstGeom prst="ellipse">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xdr:col>
      <xdr:colOff>114300</xdr:colOff>
      <xdr:row>434</xdr:row>
      <xdr:rowOff>133350</xdr:rowOff>
    </xdr:from>
    <xdr:to>
      <xdr:col>1</xdr:col>
      <xdr:colOff>2666681</xdr:colOff>
      <xdr:row>439</xdr:row>
      <xdr:rowOff>28469</xdr:rowOff>
    </xdr:to>
    <xdr:pic>
      <xdr:nvPicPr>
        <xdr:cNvPr id="39" name="Picture 38" descr="Screenshot of page layout ribbon, page setup section. The dropdown for width is selected, with a value of 1 page selected.">
          <a:extLst>
            <a:ext uri="{FF2B5EF4-FFF2-40B4-BE49-F238E27FC236}">
              <a16:creationId xmlns:a16="http://schemas.microsoft.com/office/drawing/2014/main" id="{00000000-0008-0000-0000-000027000000}"/>
            </a:ext>
          </a:extLst>
        </xdr:cNvPr>
        <xdr:cNvPicPr>
          <a:picLocks noChangeAspect="1"/>
        </xdr:cNvPicPr>
      </xdr:nvPicPr>
      <xdr:blipFill>
        <a:blip xmlns:r="http://schemas.openxmlformats.org/officeDocument/2006/relationships" r:embed="rId34"/>
        <a:stretch>
          <a:fillRect/>
        </a:stretch>
      </xdr:blipFill>
      <xdr:spPr>
        <a:xfrm>
          <a:off x="2724150" y="103651050"/>
          <a:ext cx="2552381" cy="847619"/>
        </a:xfrm>
        <a:prstGeom prst="rect">
          <a:avLst/>
        </a:prstGeom>
        <a:ln>
          <a:solidFill>
            <a:sysClr val="windowText" lastClr="000000"/>
          </a:solidFill>
        </a:ln>
      </xdr:spPr>
    </xdr:pic>
    <xdr:clientData/>
  </xdr:twoCellAnchor>
  <xdr:twoCellAnchor>
    <xdr:from>
      <xdr:col>1</xdr:col>
      <xdr:colOff>38098</xdr:colOff>
      <xdr:row>434</xdr:row>
      <xdr:rowOff>114300</xdr:rowOff>
    </xdr:from>
    <xdr:to>
      <xdr:col>1</xdr:col>
      <xdr:colOff>1609725</xdr:colOff>
      <xdr:row>436</xdr:row>
      <xdr:rowOff>0</xdr:rowOff>
    </xdr:to>
    <xdr:sp macro="" textlink="">
      <xdr:nvSpPr>
        <xdr:cNvPr id="125" name="Oval 124">
          <a:extLst>
            <a:ext uri="{FF2B5EF4-FFF2-40B4-BE49-F238E27FC236}">
              <a16:creationId xmlns:a16="http://schemas.microsoft.com/office/drawing/2014/main" id="{00000000-0008-0000-0000-00007D000000}"/>
            </a:ext>
            <a:ext uri="{C183D7F6-B498-43B3-948B-1728B52AA6E4}">
              <adec:decorative xmlns:adec="http://schemas.microsoft.com/office/drawing/2017/decorative" val="1"/>
            </a:ext>
          </a:extLst>
        </xdr:cNvPr>
        <xdr:cNvSpPr/>
      </xdr:nvSpPr>
      <xdr:spPr>
        <a:xfrm>
          <a:off x="2647948" y="103632000"/>
          <a:ext cx="1571627" cy="266700"/>
        </a:xfrm>
        <a:prstGeom prst="ellipse">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609600</xdr:colOff>
      <xdr:row>436</xdr:row>
      <xdr:rowOff>133350</xdr:rowOff>
    </xdr:from>
    <xdr:to>
      <xdr:col>1</xdr:col>
      <xdr:colOff>1838326</xdr:colOff>
      <xdr:row>438</xdr:row>
      <xdr:rowOff>180975</xdr:rowOff>
    </xdr:to>
    <xdr:sp macro="" textlink="">
      <xdr:nvSpPr>
        <xdr:cNvPr id="126" name="Oval 125">
          <a:extLst>
            <a:ext uri="{FF2B5EF4-FFF2-40B4-BE49-F238E27FC236}">
              <a16:creationId xmlns:a16="http://schemas.microsoft.com/office/drawing/2014/main" id="{00000000-0008-0000-0000-00007E000000}"/>
            </a:ext>
            <a:ext uri="{C183D7F6-B498-43B3-948B-1728B52AA6E4}">
              <adec:decorative xmlns:adec="http://schemas.microsoft.com/office/drawing/2017/decorative" val="1"/>
            </a:ext>
          </a:extLst>
        </xdr:cNvPr>
        <xdr:cNvSpPr/>
      </xdr:nvSpPr>
      <xdr:spPr>
        <a:xfrm>
          <a:off x="3219450" y="104032050"/>
          <a:ext cx="1228726" cy="428625"/>
        </a:xfrm>
        <a:prstGeom prst="ellipse">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xdr:col>
      <xdr:colOff>66675</xdr:colOff>
      <xdr:row>441</xdr:row>
      <xdr:rowOff>95250</xdr:rowOff>
    </xdr:from>
    <xdr:to>
      <xdr:col>2</xdr:col>
      <xdr:colOff>247234</xdr:colOff>
      <xdr:row>445</xdr:row>
      <xdr:rowOff>47536</xdr:rowOff>
    </xdr:to>
    <xdr:pic>
      <xdr:nvPicPr>
        <xdr:cNvPr id="42" name="Picture 41" descr="Screenshot of page layout ribbon, page setup section. The print titles option is highlighted.">
          <a:extLst>
            <a:ext uri="{FF2B5EF4-FFF2-40B4-BE49-F238E27FC236}">
              <a16:creationId xmlns:a16="http://schemas.microsoft.com/office/drawing/2014/main" id="{00000000-0008-0000-0000-00002A000000}"/>
            </a:ext>
          </a:extLst>
        </xdr:cNvPr>
        <xdr:cNvPicPr>
          <a:picLocks noChangeAspect="1"/>
        </xdr:cNvPicPr>
      </xdr:nvPicPr>
      <xdr:blipFill>
        <a:blip xmlns:r="http://schemas.openxmlformats.org/officeDocument/2006/relationships" r:embed="rId35"/>
        <a:stretch>
          <a:fillRect/>
        </a:stretch>
      </xdr:blipFill>
      <xdr:spPr>
        <a:xfrm>
          <a:off x="2676525" y="104946450"/>
          <a:ext cx="3323809" cy="714286"/>
        </a:xfrm>
        <a:prstGeom prst="rect">
          <a:avLst/>
        </a:prstGeom>
        <a:ln>
          <a:solidFill>
            <a:sysClr val="windowText" lastClr="000000"/>
          </a:solidFill>
        </a:ln>
      </xdr:spPr>
    </xdr:pic>
    <xdr:clientData/>
  </xdr:twoCellAnchor>
  <xdr:twoCellAnchor>
    <xdr:from>
      <xdr:col>1</xdr:col>
      <xdr:colOff>2876550</xdr:colOff>
      <xdr:row>441</xdr:row>
      <xdr:rowOff>114299</xdr:rowOff>
    </xdr:from>
    <xdr:to>
      <xdr:col>2</xdr:col>
      <xdr:colOff>447676</xdr:colOff>
      <xdr:row>445</xdr:row>
      <xdr:rowOff>104774</xdr:rowOff>
    </xdr:to>
    <xdr:sp macro="" textlink="">
      <xdr:nvSpPr>
        <xdr:cNvPr id="127" name="Oval 126">
          <a:extLst>
            <a:ext uri="{FF2B5EF4-FFF2-40B4-BE49-F238E27FC236}">
              <a16:creationId xmlns:a16="http://schemas.microsoft.com/office/drawing/2014/main" id="{00000000-0008-0000-0000-00007F000000}"/>
            </a:ext>
            <a:ext uri="{C183D7F6-B498-43B3-948B-1728B52AA6E4}">
              <adec:decorative xmlns:adec="http://schemas.microsoft.com/office/drawing/2017/decorative" val="1"/>
            </a:ext>
          </a:extLst>
        </xdr:cNvPr>
        <xdr:cNvSpPr/>
      </xdr:nvSpPr>
      <xdr:spPr>
        <a:xfrm>
          <a:off x="5486400" y="104965499"/>
          <a:ext cx="714376" cy="752475"/>
        </a:xfrm>
        <a:prstGeom prst="ellipse">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2</xdr:col>
      <xdr:colOff>1019175</xdr:colOff>
      <xdr:row>439</xdr:row>
      <xdr:rowOff>161925</xdr:rowOff>
    </xdr:from>
    <xdr:to>
      <xdr:col>3</xdr:col>
      <xdr:colOff>514038</xdr:colOff>
      <xdr:row>457</xdr:row>
      <xdr:rowOff>104354</xdr:rowOff>
    </xdr:to>
    <xdr:pic>
      <xdr:nvPicPr>
        <xdr:cNvPr id="43" name="Picture 42" descr="Screenshot of file, print menu. The narrow option is selected, and the normal margins dropdown is highlighted.">
          <a:extLst>
            <a:ext uri="{FF2B5EF4-FFF2-40B4-BE49-F238E27FC236}">
              <a16:creationId xmlns:a16="http://schemas.microsoft.com/office/drawing/2014/main" id="{00000000-0008-0000-0000-00002B000000}"/>
            </a:ext>
          </a:extLst>
        </xdr:cNvPr>
        <xdr:cNvPicPr>
          <a:picLocks noChangeAspect="1"/>
        </xdr:cNvPicPr>
      </xdr:nvPicPr>
      <xdr:blipFill>
        <a:blip xmlns:r="http://schemas.openxmlformats.org/officeDocument/2006/relationships" r:embed="rId36"/>
        <a:stretch>
          <a:fillRect/>
        </a:stretch>
      </xdr:blipFill>
      <xdr:spPr>
        <a:xfrm>
          <a:off x="6772275" y="104632125"/>
          <a:ext cx="2495238" cy="3371429"/>
        </a:xfrm>
        <a:prstGeom prst="rect">
          <a:avLst/>
        </a:prstGeom>
        <a:ln>
          <a:solidFill>
            <a:sysClr val="windowText" lastClr="000000"/>
          </a:solidFill>
        </a:ln>
      </xdr:spPr>
    </xdr:pic>
    <xdr:clientData/>
  </xdr:twoCellAnchor>
  <xdr:twoCellAnchor>
    <xdr:from>
      <xdr:col>2</xdr:col>
      <xdr:colOff>952500</xdr:colOff>
      <xdr:row>452</xdr:row>
      <xdr:rowOff>19050</xdr:rowOff>
    </xdr:from>
    <xdr:to>
      <xdr:col>3</xdr:col>
      <xdr:colOff>466725</xdr:colOff>
      <xdr:row>455</xdr:row>
      <xdr:rowOff>38099</xdr:rowOff>
    </xdr:to>
    <xdr:sp macro="" textlink="">
      <xdr:nvSpPr>
        <xdr:cNvPr id="128" name="Oval 127">
          <a:extLst>
            <a:ext uri="{FF2B5EF4-FFF2-40B4-BE49-F238E27FC236}">
              <a16:creationId xmlns:a16="http://schemas.microsoft.com/office/drawing/2014/main" id="{00000000-0008-0000-0000-000080000000}"/>
            </a:ext>
            <a:ext uri="{C183D7F6-B498-43B3-948B-1728B52AA6E4}">
              <adec:decorative xmlns:adec="http://schemas.microsoft.com/office/drawing/2017/decorative" val="1"/>
            </a:ext>
          </a:extLst>
        </xdr:cNvPr>
        <xdr:cNvSpPr/>
      </xdr:nvSpPr>
      <xdr:spPr>
        <a:xfrm>
          <a:off x="6705600" y="106965750"/>
          <a:ext cx="2514600" cy="590549"/>
        </a:xfrm>
        <a:prstGeom prst="ellipse">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962025</xdr:colOff>
      <xdr:row>448</xdr:row>
      <xdr:rowOff>1</xdr:rowOff>
    </xdr:from>
    <xdr:to>
      <xdr:col>3</xdr:col>
      <xdr:colOff>533400</xdr:colOff>
      <xdr:row>451</xdr:row>
      <xdr:rowOff>38101</xdr:rowOff>
    </xdr:to>
    <xdr:sp macro="" textlink="">
      <xdr:nvSpPr>
        <xdr:cNvPr id="129" name="Oval 128">
          <a:extLst>
            <a:ext uri="{FF2B5EF4-FFF2-40B4-BE49-F238E27FC236}">
              <a16:creationId xmlns:a16="http://schemas.microsoft.com/office/drawing/2014/main" id="{00000000-0008-0000-0000-000081000000}"/>
            </a:ext>
            <a:ext uri="{C183D7F6-B498-43B3-948B-1728B52AA6E4}">
              <adec:decorative xmlns:adec="http://schemas.microsoft.com/office/drawing/2017/decorative" val="1"/>
            </a:ext>
          </a:extLst>
        </xdr:cNvPr>
        <xdr:cNvSpPr/>
      </xdr:nvSpPr>
      <xdr:spPr>
        <a:xfrm>
          <a:off x="6715125" y="106184701"/>
          <a:ext cx="2571750" cy="609600"/>
        </a:xfrm>
        <a:prstGeom prst="ellipse">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xdr:col>
      <xdr:colOff>95250</xdr:colOff>
      <xdr:row>450</xdr:row>
      <xdr:rowOff>76200</xdr:rowOff>
    </xdr:from>
    <xdr:to>
      <xdr:col>1</xdr:col>
      <xdr:colOff>2552393</xdr:colOff>
      <xdr:row>458</xdr:row>
      <xdr:rowOff>66486</xdr:rowOff>
    </xdr:to>
    <xdr:pic>
      <xdr:nvPicPr>
        <xdr:cNvPr id="44" name="Picture 43" descr="Screenshot of file, print menu. The Page Setup link is highlighted.">
          <a:extLst>
            <a:ext uri="{FF2B5EF4-FFF2-40B4-BE49-F238E27FC236}">
              <a16:creationId xmlns:a16="http://schemas.microsoft.com/office/drawing/2014/main" id="{00000000-0008-0000-0000-00002C000000}"/>
            </a:ext>
          </a:extLst>
        </xdr:cNvPr>
        <xdr:cNvPicPr>
          <a:picLocks noChangeAspect="1"/>
        </xdr:cNvPicPr>
      </xdr:nvPicPr>
      <xdr:blipFill>
        <a:blip xmlns:r="http://schemas.openxmlformats.org/officeDocument/2006/relationships" r:embed="rId37"/>
        <a:stretch>
          <a:fillRect/>
        </a:stretch>
      </xdr:blipFill>
      <xdr:spPr>
        <a:xfrm>
          <a:off x="2705100" y="106641900"/>
          <a:ext cx="2457143" cy="1514286"/>
        </a:xfrm>
        <a:prstGeom prst="rect">
          <a:avLst/>
        </a:prstGeom>
        <a:ln>
          <a:solidFill>
            <a:sysClr val="windowText" lastClr="000000"/>
          </a:solidFill>
        </a:ln>
      </xdr:spPr>
    </xdr:pic>
    <xdr:clientData/>
  </xdr:twoCellAnchor>
  <xdr:twoCellAnchor>
    <xdr:from>
      <xdr:col>1</xdr:col>
      <xdr:colOff>1752599</xdr:colOff>
      <xdr:row>456</xdr:row>
      <xdr:rowOff>123825</xdr:rowOff>
    </xdr:from>
    <xdr:to>
      <xdr:col>1</xdr:col>
      <xdr:colOff>2600324</xdr:colOff>
      <xdr:row>458</xdr:row>
      <xdr:rowOff>142874</xdr:rowOff>
    </xdr:to>
    <xdr:sp macro="" textlink="">
      <xdr:nvSpPr>
        <xdr:cNvPr id="130" name="Oval 129">
          <a:extLst>
            <a:ext uri="{FF2B5EF4-FFF2-40B4-BE49-F238E27FC236}">
              <a16:creationId xmlns:a16="http://schemas.microsoft.com/office/drawing/2014/main" id="{00000000-0008-0000-0000-000082000000}"/>
            </a:ext>
            <a:ext uri="{C183D7F6-B498-43B3-948B-1728B52AA6E4}">
              <adec:decorative xmlns:adec="http://schemas.microsoft.com/office/drawing/2017/decorative" val="1"/>
            </a:ext>
          </a:extLst>
        </xdr:cNvPr>
        <xdr:cNvSpPr/>
      </xdr:nvSpPr>
      <xdr:spPr>
        <a:xfrm>
          <a:off x="4362449" y="107832525"/>
          <a:ext cx="847725" cy="400049"/>
        </a:xfrm>
        <a:prstGeom prst="ellipse">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xdr:col>
      <xdr:colOff>114300</xdr:colOff>
      <xdr:row>459</xdr:row>
      <xdr:rowOff>85725</xdr:rowOff>
    </xdr:from>
    <xdr:to>
      <xdr:col>2</xdr:col>
      <xdr:colOff>2085336</xdr:colOff>
      <xdr:row>469</xdr:row>
      <xdr:rowOff>47392</xdr:rowOff>
    </xdr:to>
    <xdr:pic>
      <xdr:nvPicPr>
        <xdr:cNvPr id="46" name="Picture 45" descr="Screenshot of page setup menu. The Header/Footer tab is selected, the dropdown under header is highlighted, as are the custom header and custom footer options.">
          <a:extLst>
            <a:ext uri="{FF2B5EF4-FFF2-40B4-BE49-F238E27FC236}">
              <a16:creationId xmlns:a16="http://schemas.microsoft.com/office/drawing/2014/main" id="{00000000-0008-0000-0000-00002E000000}"/>
            </a:ext>
          </a:extLst>
        </xdr:cNvPr>
        <xdr:cNvPicPr>
          <a:picLocks noChangeAspect="1"/>
        </xdr:cNvPicPr>
      </xdr:nvPicPr>
      <xdr:blipFill>
        <a:blip xmlns:r="http://schemas.openxmlformats.org/officeDocument/2006/relationships" r:embed="rId38"/>
        <a:stretch>
          <a:fillRect/>
        </a:stretch>
      </xdr:blipFill>
      <xdr:spPr>
        <a:xfrm>
          <a:off x="2724150" y="108365925"/>
          <a:ext cx="5114286" cy="1866667"/>
        </a:xfrm>
        <a:prstGeom prst="rect">
          <a:avLst/>
        </a:prstGeom>
        <a:ln>
          <a:solidFill>
            <a:sysClr val="windowText" lastClr="000000"/>
          </a:solidFill>
        </a:ln>
      </xdr:spPr>
    </xdr:pic>
    <xdr:clientData/>
  </xdr:twoCellAnchor>
  <xdr:twoCellAnchor>
    <xdr:from>
      <xdr:col>1</xdr:col>
      <xdr:colOff>1257299</xdr:colOff>
      <xdr:row>460</xdr:row>
      <xdr:rowOff>152400</xdr:rowOff>
    </xdr:from>
    <xdr:to>
      <xdr:col>1</xdr:col>
      <xdr:colOff>2209800</xdr:colOff>
      <xdr:row>462</xdr:row>
      <xdr:rowOff>171449</xdr:rowOff>
    </xdr:to>
    <xdr:sp macro="" textlink="">
      <xdr:nvSpPr>
        <xdr:cNvPr id="131" name="Oval 130">
          <a:extLst>
            <a:ext uri="{FF2B5EF4-FFF2-40B4-BE49-F238E27FC236}">
              <a16:creationId xmlns:a16="http://schemas.microsoft.com/office/drawing/2014/main" id="{00000000-0008-0000-0000-000083000000}"/>
            </a:ext>
            <a:ext uri="{C183D7F6-B498-43B3-948B-1728B52AA6E4}">
              <adec:decorative xmlns:adec="http://schemas.microsoft.com/office/drawing/2017/decorative" val="1"/>
            </a:ext>
          </a:extLst>
        </xdr:cNvPr>
        <xdr:cNvSpPr/>
      </xdr:nvSpPr>
      <xdr:spPr>
        <a:xfrm>
          <a:off x="3867149" y="108623100"/>
          <a:ext cx="952501" cy="400049"/>
        </a:xfrm>
        <a:prstGeom prst="ellipse">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1609725</xdr:colOff>
      <xdr:row>465</xdr:row>
      <xdr:rowOff>142875</xdr:rowOff>
    </xdr:from>
    <xdr:to>
      <xdr:col>2</xdr:col>
      <xdr:colOff>2209800</xdr:colOff>
      <xdr:row>467</xdr:row>
      <xdr:rowOff>114300</xdr:rowOff>
    </xdr:to>
    <xdr:sp macro="" textlink="">
      <xdr:nvSpPr>
        <xdr:cNvPr id="132" name="Oval 131">
          <a:extLst>
            <a:ext uri="{FF2B5EF4-FFF2-40B4-BE49-F238E27FC236}">
              <a16:creationId xmlns:a16="http://schemas.microsoft.com/office/drawing/2014/main" id="{00000000-0008-0000-0000-000084000000}"/>
            </a:ext>
            <a:ext uri="{C183D7F6-B498-43B3-948B-1728B52AA6E4}">
              <adec:decorative xmlns:adec="http://schemas.microsoft.com/office/drawing/2017/decorative" val="1"/>
            </a:ext>
          </a:extLst>
        </xdr:cNvPr>
        <xdr:cNvSpPr/>
      </xdr:nvSpPr>
      <xdr:spPr>
        <a:xfrm>
          <a:off x="7362825" y="109566075"/>
          <a:ext cx="600075" cy="352425"/>
        </a:xfrm>
        <a:prstGeom prst="ellipse">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1485900</xdr:colOff>
      <xdr:row>467</xdr:row>
      <xdr:rowOff>47625</xdr:rowOff>
    </xdr:from>
    <xdr:to>
      <xdr:col>2</xdr:col>
      <xdr:colOff>828675</xdr:colOff>
      <xdr:row>469</xdr:row>
      <xdr:rowOff>66674</xdr:rowOff>
    </xdr:to>
    <xdr:sp macro="" textlink="">
      <xdr:nvSpPr>
        <xdr:cNvPr id="133" name="Oval 132">
          <a:extLst>
            <a:ext uri="{FF2B5EF4-FFF2-40B4-BE49-F238E27FC236}">
              <a16:creationId xmlns:a16="http://schemas.microsoft.com/office/drawing/2014/main" id="{00000000-0008-0000-0000-000085000000}"/>
            </a:ext>
            <a:ext uri="{C183D7F6-B498-43B3-948B-1728B52AA6E4}">
              <adec:decorative xmlns:adec="http://schemas.microsoft.com/office/drawing/2017/decorative" val="1"/>
            </a:ext>
          </a:extLst>
        </xdr:cNvPr>
        <xdr:cNvSpPr/>
      </xdr:nvSpPr>
      <xdr:spPr>
        <a:xfrm>
          <a:off x="4095750" y="109851825"/>
          <a:ext cx="2486025" cy="400049"/>
        </a:xfrm>
        <a:prstGeom prst="ellipse">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xdr:col>
      <xdr:colOff>66675</xdr:colOff>
      <xdr:row>473</xdr:row>
      <xdr:rowOff>85725</xdr:rowOff>
    </xdr:from>
    <xdr:to>
      <xdr:col>1</xdr:col>
      <xdr:colOff>2857151</xdr:colOff>
      <xdr:row>490</xdr:row>
      <xdr:rowOff>75796</xdr:rowOff>
    </xdr:to>
    <xdr:pic>
      <xdr:nvPicPr>
        <xdr:cNvPr id="47" name="Picture 46" descr="Screenshot of page setup menu. The Sheet tab is selected, and under the Page order section, the Over, then down option is highlighted.">
          <a:extLst>
            <a:ext uri="{FF2B5EF4-FFF2-40B4-BE49-F238E27FC236}">
              <a16:creationId xmlns:a16="http://schemas.microsoft.com/office/drawing/2014/main" id="{00000000-0008-0000-0000-00002F000000}"/>
            </a:ext>
          </a:extLst>
        </xdr:cNvPr>
        <xdr:cNvPicPr>
          <a:picLocks noChangeAspect="1"/>
        </xdr:cNvPicPr>
      </xdr:nvPicPr>
      <xdr:blipFill>
        <a:blip xmlns:r="http://schemas.openxmlformats.org/officeDocument/2006/relationships" r:embed="rId39"/>
        <a:stretch>
          <a:fillRect/>
        </a:stretch>
      </xdr:blipFill>
      <xdr:spPr>
        <a:xfrm>
          <a:off x="2676525" y="111032925"/>
          <a:ext cx="2790476" cy="3228571"/>
        </a:xfrm>
        <a:prstGeom prst="rect">
          <a:avLst/>
        </a:prstGeom>
        <a:ln>
          <a:solidFill>
            <a:sysClr val="windowText" lastClr="000000"/>
          </a:solidFill>
        </a:ln>
      </xdr:spPr>
    </xdr:pic>
    <xdr:clientData/>
  </xdr:twoCellAnchor>
  <xdr:twoCellAnchor>
    <xdr:from>
      <xdr:col>1</xdr:col>
      <xdr:colOff>2038350</xdr:colOff>
      <xdr:row>474</xdr:row>
      <xdr:rowOff>142875</xdr:rowOff>
    </xdr:from>
    <xdr:to>
      <xdr:col>1</xdr:col>
      <xdr:colOff>2667000</xdr:colOff>
      <xdr:row>476</xdr:row>
      <xdr:rowOff>114300</xdr:rowOff>
    </xdr:to>
    <xdr:sp macro="" textlink="">
      <xdr:nvSpPr>
        <xdr:cNvPr id="134" name="Oval 133">
          <a:extLst>
            <a:ext uri="{FF2B5EF4-FFF2-40B4-BE49-F238E27FC236}">
              <a16:creationId xmlns:a16="http://schemas.microsoft.com/office/drawing/2014/main" id="{00000000-0008-0000-0000-000086000000}"/>
            </a:ext>
            <a:ext uri="{C183D7F6-B498-43B3-948B-1728B52AA6E4}">
              <adec:decorative xmlns:adec="http://schemas.microsoft.com/office/drawing/2017/decorative" val="1"/>
            </a:ext>
          </a:extLst>
        </xdr:cNvPr>
        <xdr:cNvSpPr/>
      </xdr:nvSpPr>
      <xdr:spPr>
        <a:xfrm>
          <a:off x="4648200" y="111280575"/>
          <a:ext cx="628650" cy="352425"/>
        </a:xfrm>
        <a:prstGeom prst="ellipse">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228600</xdr:colOff>
      <xdr:row>488</xdr:row>
      <xdr:rowOff>9525</xdr:rowOff>
    </xdr:from>
    <xdr:to>
      <xdr:col>1</xdr:col>
      <xdr:colOff>1400175</xdr:colOff>
      <xdr:row>489</xdr:row>
      <xdr:rowOff>142875</xdr:rowOff>
    </xdr:to>
    <xdr:sp macro="" textlink="">
      <xdr:nvSpPr>
        <xdr:cNvPr id="135" name="Oval 134">
          <a:extLst>
            <a:ext uri="{FF2B5EF4-FFF2-40B4-BE49-F238E27FC236}">
              <a16:creationId xmlns:a16="http://schemas.microsoft.com/office/drawing/2014/main" id="{00000000-0008-0000-0000-000087000000}"/>
            </a:ext>
            <a:ext uri="{C183D7F6-B498-43B3-948B-1728B52AA6E4}">
              <adec:decorative xmlns:adec="http://schemas.microsoft.com/office/drawing/2017/decorative" val="1"/>
            </a:ext>
          </a:extLst>
        </xdr:cNvPr>
        <xdr:cNvSpPr/>
      </xdr:nvSpPr>
      <xdr:spPr>
        <a:xfrm>
          <a:off x="2838450" y="113814225"/>
          <a:ext cx="1171575" cy="323850"/>
        </a:xfrm>
        <a:prstGeom prst="ellipse">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xdr:col>
      <xdr:colOff>99060</xdr:colOff>
      <xdr:row>110</xdr:row>
      <xdr:rowOff>106680</xdr:rowOff>
    </xdr:from>
    <xdr:to>
      <xdr:col>2</xdr:col>
      <xdr:colOff>511810</xdr:colOff>
      <xdr:row>115</xdr:row>
      <xdr:rowOff>142240</xdr:rowOff>
    </xdr:to>
    <xdr:pic>
      <xdr:nvPicPr>
        <xdr:cNvPr id="49" name="Picture 48" descr="Screenshot of view ribbon, window section, highlighting the New Window option.">
          <a:extLst>
            <a:ext uri="{FF2B5EF4-FFF2-40B4-BE49-F238E27FC236}">
              <a16:creationId xmlns:a16="http://schemas.microsoft.com/office/drawing/2014/main" id="{2BCB2F38-908D-D5C1-2843-CB55049DF9EC}"/>
            </a:ext>
          </a:extLst>
        </xdr:cNvPr>
        <xdr:cNvPicPr>
          <a:picLocks noChangeAspect="1"/>
        </xdr:cNvPicPr>
      </xdr:nvPicPr>
      <xdr:blipFill>
        <a:blip xmlns:r="http://schemas.openxmlformats.org/officeDocument/2006/relationships" r:embed="rId40">
          <a:extLst>
            <a:ext uri="{28A0092B-C50C-407E-A947-70E740481C1C}">
              <a14:useLocalDpi xmlns:a14="http://schemas.microsoft.com/office/drawing/2010/main" val="0"/>
            </a:ext>
          </a:extLst>
        </a:blip>
        <a:srcRect/>
        <a:stretch/>
      </xdr:blipFill>
      <xdr:spPr>
        <a:xfrm>
          <a:off x="2781300" y="21099780"/>
          <a:ext cx="3643630" cy="949960"/>
        </a:xfrm>
        <a:prstGeom prst="rect">
          <a:avLst/>
        </a:prstGeom>
        <a:ln>
          <a:solidFill>
            <a:schemeClr val="tx1"/>
          </a:solidFill>
        </a:ln>
      </xdr:spPr>
    </xdr:pic>
    <xdr:clientData/>
  </xdr:twoCellAnchor>
  <xdr:twoCellAnchor editAs="oneCell">
    <xdr:from>
      <xdr:col>1</xdr:col>
      <xdr:colOff>76200</xdr:colOff>
      <xdr:row>118</xdr:row>
      <xdr:rowOff>91440</xdr:rowOff>
    </xdr:from>
    <xdr:to>
      <xdr:col>1</xdr:col>
      <xdr:colOff>2087879</xdr:colOff>
      <xdr:row>133</xdr:row>
      <xdr:rowOff>38123</xdr:rowOff>
    </xdr:to>
    <xdr:pic>
      <xdr:nvPicPr>
        <xdr:cNvPr id="57" name="Picture 56" descr="Screenshot of view ribbon, window section, highlighting arrange all option.">
          <a:extLst>
            <a:ext uri="{FF2B5EF4-FFF2-40B4-BE49-F238E27FC236}">
              <a16:creationId xmlns:a16="http://schemas.microsoft.com/office/drawing/2014/main" id="{8524512B-1890-820F-E644-FB02437908E7}"/>
            </a:ext>
          </a:extLst>
        </xdr:cNvPr>
        <xdr:cNvPicPr>
          <a:picLocks noChangeAspect="1"/>
        </xdr:cNvPicPr>
      </xdr:nvPicPr>
      <xdr:blipFill>
        <a:blip xmlns:r="http://schemas.openxmlformats.org/officeDocument/2006/relationships" r:embed="rId41">
          <a:extLst>
            <a:ext uri="{28A0092B-C50C-407E-A947-70E740481C1C}">
              <a14:useLocalDpi xmlns:a14="http://schemas.microsoft.com/office/drawing/2010/main" val="0"/>
            </a:ext>
          </a:extLst>
        </a:blip>
        <a:srcRect/>
        <a:stretch/>
      </xdr:blipFill>
      <xdr:spPr>
        <a:xfrm>
          <a:off x="2758440" y="22547580"/>
          <a:ext cx="2011679" cy="2689883"/>
        </a:xfrm>
        <a:prstGeom prst="rect">
          <a:avLst/>
        </a:prstGeom>
        <a:ln>
          <a:solidFill>
            <a:schemeClr val="tx1"/>
          </a:solidFill>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7610475</xdr:colOff>
      <xdr:row>19</xdr:row>
      <xdr:rowOff>104775</xdr:rowOff>
    </xdr:from>
    <xdr:to>
      <xdr:col>2</xdr:col>
      <xdr:colOff>9181904</xdr:colOff>
      <xdr:row>20</xdr:row>
      <xdr:rowOff>76179</xdr:rowOff>
    </xdr:to>
    <xdr:pic>
      <xdr:nvPicPr>
        <xdr:cNvPr id="2" name="Picture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stretch>
          <a:fillRect/>
        </a:stretch>
      </xdr:blipFill>
      <xdr:spPr>
        <a:xfrm>
          <a:off x="10953750" y="4400550"/>
          <a:ext cx="1571429" cy="171429"/>
        </a:xfrm>
        <a:prstGeom prst="rect">
          <a:avLst/>
        </a:prstGeom>
        <a:ln>
          <a:solidFill>
            <a:sysClr val="windowText" lastClr="000000"/>
          </a:solidFill>
        </a:ln>
      </xdr:spPr>
    </xdr:pic>
    <xdr:clientData/>
  </xdr:twoCellAnchor>
  <xdr:twoCellAnchor editAs="oneCell">
    <xdr:from>
      <xdr:col>2</xdr:col>
      <xdr:colOff>8010525</xdr:colOff>
      <xdr:row>37</xdr:row>
      <xdr:rowOff>438150</xdr:rowOff>
    </xdr:from>
    <xdr:to>
      <xdr:col>2</xdr:col>
      <xdr:colOff>9286715</xdr:colOff>
      <xdr:row>37</xdr:row>
      <xdr:rowOff>571483</xdr:rowOff>
    </xdr:to>
    <xdr:pic>
      <xdr:nvPicPr>
        <xdr:cNvPr id="3" name="Picture 2">
          <a:extLst>
            <a:ext uri="{FF2B5EF4-FFF2-40B4-BE49-F238E27FC236}">
              <a16:creationId xmlns:a16="http://schemas.microsoft.com/office/drawing/2014/main" id="{00000000-0008-0000-0100-000003000000}"/>
            </a:ext>
          </a:extLst>
        </xdr:cNvPr>
        <xdr:cNvPicPr>
          <a:picLocks noChangeAspect="1"/>
        </xdr:cNvPicPr>
      </xdr:nvPicPr>
      <xdr:blipFill>
        <a:blip xmlns:r="http://schemas.openxmlformats.org/officeDocument/2006/relationships" r:embed="rId2"/>
        <a:stretch>
          <a:fillRect/>
        </a:stretch>
      </xdr:blipFill>
      <xdr:spPr>
        <a:xfrm>
          <a:off x="11353800" y="9029700"/>
          <a:ext cx="1276190" cy="133333"/>
        </a:xfrm>
        <a:prstGeom prst="rect">
          <a:avLst/>
        </a:prstGeom>
        <a:ln>
          <a:solidFill>
            <a:sysClr val="windowText" lastClr="000000"/>
          </a:solidFill>
        </a:ln>
      </xdr:spPr>
    </xdr:pic>
    <xdr:clientData/>
  </xdr:twoCellAnchor>
  <xdr:twoCellAnchor editAs="oneCell">
    <xdr:from>
      <xdr:col>2</xdr:col>
      <xdr:colOff>2981325</xdr:colOff>
      <xdr:row>47</xdr:row>
      <xdr:rowOff>438150</xdr:rowOff>
    </xdr:from>
    <xdr:to>
      <xdr:col>2</xdr:col>
      <xdr:colOff>4257515</xdr:colOff>
      <xdr:row>47</xdr:row>
      <xdr:rowOff>571483</xdr:rowOff>
    </xdr:to>
    <xdr:pic>
      <xdr:nvPicPr>
        <xdr:cNvPr id="4" name="Picture 3">
          <a:extLst>
            <a:ext uri="{FF2B5EF4-FFF2-40B4-BE49-F238E27FC236}">
              <a16:creationId xmlns:a16="http://schemas.microsoft.com/office/drawing/2014/main" id="{00000000-0008-0000-0100-000004000000}"/>
            </a:ext>
          </a:extLst>
        </xdr:cNvPr>
        <xdr:cNvPicPr>
          <a:picLocks noChangeAspect="1"/>
        </xdr:cNvPicPr>
      </xdr:nvPicPr>
      <xdr:blipFill>
        <a:blip xmlns:r="http://schemas.openxmlformats.org/officeDocument/2006/relationships" r:embed="rId2"/>
        <a:stretch>
          <a:fillRect/>
        </a:stretch>
      </xdr:blipFill>
      <xdr:spPr>
        <a:xfrm>
          <a:off x="6324600" y="12420600"/>
          <a:ext cx="1276190" cy="133333"/>
        </a:xfrm>
        <a:prstGeom prst="rect">
          <a:avLst/>
        </a:prstGeom>
        <a:ln>
          <a:solidFill>
            <a:sysClr val="windowText" lastClr="000000"/>
          </a:solidFill>
        </a:ln>
      </xdr:spPr>
    </xdr:pic>
    <xdr:clientData/>
  </xdr:twoCellAnchor>
  <xdr:twoCellAnchor editAs="oneCell">
    <xdr:from>
      <xdr:col>2</xdr:col>
      <xdr:colOff>2409976</xdr:colOff>
      <xdr:row>49</xdr:row>
      <xdr:rowOff>57150</xdr:rowOff>
    </xdr:from>
    <xdr:to>
      <xdr:col>2</xdr:col>
      <xdr:colOff>5419725</xdr:colOff>
      <xdr:row>54</xdr:row>
      <xdr:rowOff>76200</xdr:rowOff>
    </xdr:to>
    <xdr:pic>
      <xdr:nvPicPr>
        <xdr:cNvPr id="5" name="Picture 4">
          <a:extLst>
            <a:ext uri="{FF2B5EF4-FFF2-40B4-BE49-F238E27FC236}">
              <a16:creationId xmlns:a16="http://schemas.microsoft.com/office/drawing/2014/main" id="{00000000-0008-0000-0100-000005000000}"/>
            </a:ext>
          </a:extLst>
        </xdr:cNvPr>
        <xdr:cNvPicPr>
          <a:picLocks noChangeAspect="1"/>
        </xdr:cNvPicPr>
      </xdr:nvPicPr>
      <xdr:blipFill>
        <a:blip xmlns:r="http://schemas.openxmlformats.org/officeDocument/2006/relationships" r:embed="rId3"/>
        <a:stretch>
          <a:fillRect/>
        </a:stretch>
      </xdr:blipFill>
      <xdr:spPr>
        <a:xfrm>
          <a:off x="5753251" y="12896850"/>
          <a:ext cx="3009749" cy="1019175"/>
        </a:xfrm>
        <a:prstGeom prst="rect">
          <a:avLst/>
        </a:prstGeom>
        <a:ln>
          <a:solidFill>
            <a:sysClr val="windowText" lastClr="000000"/>
          </a:solidFill>
        </a:ln>
      </xdr:spPr>
    </xdr:pic>
    <xdr:clientData/>
  </xdr:twoCellAnchor>
  <xdr:twoCellAnchor editAs="oneCell">
    <xdr:from>
      <xdr:col>1</xdr:col>
      <xdr:colOff>266700</xdr:colOff>
      <xdr:row>56</xdr:row>
      <xdr:rowOff>333375</xdr:rowOff>
    </xdr:from>
    <xdr:to>
      <xdr:col>1</xdr:col>
      <xdr:colOff>656689</xdr:colOff>
      <xdr:row>59</xdr:row>
      <xdr:rowOff>19050</xdr:rowOff>
    </xdr:to>
    <xdr:pic>
      <xdr:nvPicPr>
        <xdr:cNvPr id="6" name="Picture 5">
          <a:extLst>
            <a:ext uri="{FF2B5EF4-FFF2-40B4-BE49-F238E27FC236}">
              <a16:creationId xmlns:a16="http://schemas.microsoft.com/office/drawing/2014/main" id="{00000000-0008-0000-0100-000006000000}"/>
            </a:ext>
          </a:extLst>
        </xdr:cNvPr>
        <xdr:cNvPicPr>
          <a:picLocks noChangeAspect="1"/>
        </xdr:cNvPicPr>
      </xdr:nvPicPr>
      <xdr:blipFill>
        <a:blip xmlns:r="http://schemas.openxmlformats.org/officeDocument/2006/relationships" r:embed="rId4"/>
        <a:stretch>
          <a:fillRect/>
        </a:stretch>
      </xdr:blipFill>
      <xdr:spPr>
        <a:xfrm>
          <a:off x="2733675" y="14773275"/>
          <a:ext cx="389989" cy="485775"/>
        </a:xfrm>
        <a:prstGeom prst="rect">
          <a:avLst/>
        </a:prstGeom>
        <a:ln>
          <a:solidFill>
            <a:sysClr val="windowText" lastClr="000000"/>
          </a:solidFill>
        </a:ln>
      </xdr:spPr>
    </xdr:pic>
    <xdr:clientData/>
  </xdr:twoCellAnchor>
  <xdr:twoCellAnchor editAs="oneCell">
    <xdr:from>
      <xdr:col>2</xdr:col>
      <xdr:colOff>3409950</xdr:colOff>
      <xdr:row>57</xdr:row>
      <xdr:rowOff>167794</xdr:rowOff>
    </xdr:from>
    <xdr:to>
      <xdr:col>2</xdr:col>
      <xdr:colOff>7629525</xdr:colOff>
      <xdr:row>66</xdr:row>
      <xdr:rowOff>74781</xdr:rowOff>
    </xdr:to>
    <xdr:pic>
      <xdr:nvPicPr>
        <xdr:cNvPr id="7" name="Picture 6">
          <a:extLst>
            <a:ext uri="{FF2B5EF4-FFF2-40B4-BE49-F238E27FC236}">
              <a16:creationId xmlns:a16="http://schemas.microsoft.com/office/drawing/2014/main" id="{00000000-0008-0000-0100-000007000000}"/>
            </a:ext>
          </a:extLst>
        </xdr:cNvPr>
        <xdr:cNvPicPr>
          <a:picLocks noChangeAspect="1"/>
        </xdr:cNvPicPr>
      </xdr:nvPicPr>
      <xdr:blipFill>
        <a:blip xmlns:r="http://schemas.openxmlformats.org/officeDocument/2006/relationships" r:embed="rId5"/>
        <a:stretch>
          <a:fillRect/>
        </a:stretch>
      </xdr:blipFill>
      <xdr:spPr>
        <a:xfrm>
          <a:off x="6753225" y="15007744"/>
          <a:ext cx="4219575" cy="1707212"/>
        </a:xfrm>
        <a:prstGeom prst="rect">
          <a:avLst/>
        </a:prstGeom>
        <a:ln>
          <a:solidFill>
            <a:sysClr val="windowText" lastClr="000000"/>
          </a:solidFill>
        </a:ln>
      </xdr:spPr>
    </xdr:pic>
    <xdr:clientData/>
  </xdr:twoCellAnchor>
  <xdr:twoCellAnchor editAs="oneCell">
    <xdr:from>
      <xdr:col>2</xdr:col>
      <xdr:colOff>209550</xdr:colOff>
      <xdr:row>57</xdr:row>
      <xdr:rowOff>85726</xdr:rowOff>
    </xdr:from>
    <xdr:to>
      <xdr:col>2</xdr:col>
      <xdr:colOff>3202106</xdr:colOff>
      <xdr:row>66</xdr:row>
      <xdr:rowOff>190501</xdr:rowOff>
    </xdr:to>
    <xdr:pic>
      <xdr:nvPicPr>
        <xdr:cNvPr id="8" name="Picture 7">
          <a:extLst>
            <a:ext uri="{FF2B5EF4-FFF2-40B4-BE49-F238E27FC236}">
              <a16:creationId xmlns:a16="http://schemas.microsoft.com/office/drawing/2014/main" id="{00000000-0008-0000-0100-000008000000}"/>
            </a:ext>
          </a:extLst>
        </xdr:cNvPr>
        <xdr:cNvPicPr>
          <a:picLocks noChangeAspect="1"/>
        </xdr:cNvPicPr>
      </xdr:nvPicPr>
      <xdr:blipFill>
        <a:blip xmlns:r="http://schemas.openxmlformats.org/officeDocument/2006/relationships" r:embed="rId6"/>
        <a:stretch>
          <a:fillRect/>
        </a:stretch>
      </xdr:blipFill>
      <xdr:spPr>
        <a:xfrm>
          <a:off x="3552825" y="14925676"/>
          <a:ext cx="2992556" cy="1905000"/>
        </a:xfrm>
        <a:prstGeom prst="rect">
          <a:avLst/>
        </a:prstGeom>
        <a:ln>
          <a:solidFill>
            <a:sysClr val="windowText" lastClr="000000"/>
          </a:solidFill>
        </a:ln>
      </xdr:spPr>
    </xdr:pic>
    <xdr:clientData/>
  </xdr:twoCellAnchor>
  <xdr:twoCellAnchor editAs="oneCell">
    <xdr:from>
      <xdr:col>2</xdr:col>
      <xdr:colOff>400050</xdr:colOff>
      <xdr:row>81</xdr:row>
      <xdr:rowOff>85725</xdr:rowOff>
    </xdr:from>
    <xdr:to>
      <xdr:col>2</xdr:col>
      <xdr:colOff>2752431</xdr:colOff>
      <xdr:row>85</xdr:row>
      <xdr:rowOff>180863</xdr:rowOff>
    </xdr:to>
    <xdr:pic>
      <xdr:nvPicPr>
        <xdr:cNvPr id="9" name="Picture 8">
          <a:extLst>
            <a:ext uri="{FF2B5EF4-FFF2-40B4-BE49-F238E27FC236}">
              <a16:creationId xmlns:a16="http://schemas.microsoft.com/office/drawing/2014/main" id="{00000000-0008-0000-0100-000009000000}"/>
            </a:ext>
          </a:extLst>
        </xdr:cNvPr>
        <xdr:cNvPicPr>
          <a:picLocks noChangeAspect="1"/>
        </xdr:cNvPicPr>
      </xdr:nvPicPr>
      <xdr:blipFill>
        <a:blip xmlns:r="http://schemas.openxmlformats.org/officeDocument/2006/relationships" r:embed="rId7"/>
        <a:stretch>
          <a:fillRect/>
        </a:stretch>
      </xdr:blipFill>
      <xdr:spPr>
        <a:xfrm>
          <a:off x="3743325" y="20116800"/>
          <a:ext cx="2352381" cy="895238"/>
        </a:xfrm>
        <a:prstGeom prst="rect">
          <a:avLst/>
        </a:prstGeom>
        <a:ln>
          <a:solidFill>
            <a:sysClr val="windowText" lastClr="000000"/>
          </a:solidFill>
        </a:ln>
      </xdr:spPr>
    </xdr:pic>
    <xdr:clientData/>
  </xdr:twoCellAnchor>
  <xdr:twoCellAnchor editAs="oneCell">
    <xdr:from>
      <xdr:col>2</xdr:col>
      <xdr:colOff>2933700</xdr:colOff>
      <xdr:row>81</xdr:row>
      <xdr:rowOff>85725</xdr:rowOff>
    </xdr:from>
    <xdr:to>
      <xdr:col>2</xdr:col>
      <xdr:colOff>5609890</xdr:colOff>
      <xdr:row>85</xdr:row>
      <xdr:rowOff>190387</xdr:rowOff>
    </xdr:to>
    <xdr:pic>
      <xdr:nvPicPr>
        <xdr:cNvPr id="10" name="Picture 9">
          <a:extLst>
            <a:ext uri="{FF2B5EF4-FFF2-40B4-BE49-F238E27FC236}">
              <a16:creationId xmlns:a16="http://schemas.microsoft.com/office/drawing/2014/main" id="{00000000-0008-0000-0100-00000A000000}"/>
            </a:ext>
          </a:extLst>
        </xdr:cNvPr>
        <xdr:cNvPicPr>
          <a:picLocks noChangeAspect="1"/>
        </xdr:cNvPicPr>
      </xdr:nvPicPr>
      <xdr:blipFill>
        <a:blip xmlns:r="http://schemas.openxmlformats.org/officeDocument/2006/relationships" r:embed="rId8"/>
        <a:stretch>
          <a:fillRect/>
        </a:stretch>
      </xdr:blipFill>
      <xdr:spPr>
        <a:xfrm>
          <a:off x="6276975" y="20116800"/>
          <a:ext cx="2676190" cy="904762"/>
        </a:xfrm>
        <a:prstGeom prst="rect">
          <a:avLst/>
        </a:prstGeom>
        <a:ln>
          <a:solidFill>
            <a:sysClr val="windowText" lastClr="000000"/>
          </a:solidFill>
        </a:ln>
      </xdr:spPr>
    </xdr:pic>
    <xdr:clientData/>
  </xdr:twoCellAnchor>
  <xdr:twoCellAnchor editAs="oneCell">
    <xdr:from>
      <xdr:col>2</xdr:col>
      <xdr:colOff>3038475</xdr:colOff>
      <xdr:row>87</xdr:row>
      <xdr:rowOff>238125</xdr:rowOff>
    </xdr:from>
    <xdr:to>
      <xdr:col>2</xdr:col>
      <xdr:colOff>5333713</xdr:colOff>
      <xdr:row>90</xdr:row>
      <xdr:rowOff>85644</xdr:rowOff>
    </xdr:to>
    <xdr:pic>
      <xdr:nvPicPr>
        <xdr:cNvPr id="11" name="Picture 10">
          <a:extLst>
            <a:ext uri="{FF2B5EF4-FFF2-40B4-BE49-F238E27FC236}">
              <a16:creationId xmlns:a16="http://schemas.microsoft.com/office/drawing/2014/main" id="{00000000-0008-0000-0100-00000B000000}"/>
            </a:ext>
          </a:extLst>
        </xdr:cNvPr>
        <xdr:cNvPicPr>
          <a:picLocks noChangeAspect="1"/>
        </xdr:cNvPicPr>
      </xdr:nvPicPr>
      <xdr:blipFill>
        <a:blip xmlns:r="http://schemas.openxmlformats.org/officeDocument/2006/relationships" r:embed="rId9"/>
        <a:stretch>
          <a:fillRect/>
        </a:stretch>
      </xdr:blipFill>
      <xdr:spPr>
        <a:xfrm>
          <a:off x="6381750" y="21469350"/>
          <a:ext cx="2295238" cy="647619"/>
        </a:xfrm>
        <a:prstGeom prst="rect">
          <a:avLst/>
        </a:prstGeom>
        <a:ln>
          <a:solidFill>
            <a:sysClr val="windowText" lastClr="000000"/>
          </a:solidFill>
        </a:ln>
      </xdr:spPr>
    </xdr:pic>
    <xdr:clientData/>
  </xdr:twoCellAnchor>
  <xdr:twoCellAnchor editAs="oneCell">
    <xdr:from>
      <xdr:col>2</xdr:col>
      <xdr:colOff>514350</xdr:colOff>
      <xdr:row>73</xdr:row>
      <xdr:rowOff>114300</xdr:rowOff>
    </xdr:from>
    <xdr:to>
      <xdr:col>2</xdr:col>
      <xdr:colOff>3524099</xdr:colOff>
      <xdr:row>78</xdr:row>
      <xdr:rowOff>133350</xdr:rowOff>
    </xdr:to>
    <xdr:pic>
      <xdr:nvPicPr>
        <xdr:cNvPr id="12" name="Picture 11">
          <a:extLst>
            <a:ext uri="{FF2B5EF4-FFF2-40B4-BE49-F238E27FC236}">
              <a16:creationId xmlns:a16="http://schemas.microsoft.com/office/drawing/2014/main" id="{00000000-0008-0000-0100-00000C000000}"/>
            </a:ext>
          </a:extLst>
        </xdr:cNvPr>
        <xdr:cNvPicPr>
          <a:picLocks noChangeAspect="1"/>
        </xdr:cNvPicPr>
      </xdr:nvPicPr>
      <xdr:blipFill>
        <a:blip xmlns:r="http://schemas.openxmlformats.org/officeDocument/2006/relationships" r:embed="rId3"/>
        <a:stretch>
          <a:fillRect/>
        </a:stretch>
      </xdr:blipFill>
      <xdr:spPr>
        <a:xfrm>
          <a:off x="3857625" y="18345150"/>
          <a:ext cx="3009749" cy="1019175"/>
        </a:xfrm>
        <a:prstGeom prst="rect">
          <a:avLst/>
        </a:prstGeom>
        <a:ln>
          <a:solidFill>
            <a:sysClr val="windowText" lastClr="000000"/>
          </a:solidFill>
        </a:ln>
      </xdr:spPr>
    </xdr:pic>
    <xdr:clientData/>
  </xdr:twoCellAnchor>
  <xdr:twoCellAnchor editAs="oneCell">
    <xdr:from>
      <xdr:col>2</xdr:col>
      <xdr:colOff>5543550</xdr:colOff>
      <xdr:row>87</xdr:row>
      <xdr:rowOff>381000</xdr:rowOff>
    </xdr:from>
    <xdr:to>
      <xdr:col>2</xdr:col>
      <xdr:colOff>6991169</xdr:colOff>
      <xdr:row>88</xdr:row>
      <xdr:rowOff>161902</xdr:rowOff>
    </xdr:to>
    <xdr:pic>
      <xdr:nvPicPr>
        <xdr:cNvPr id="13" name="Picture 12">
          <a:extLst>
            <a:ext uri="{FF2B5EF4-FFF2-40B4-BE49-F238E27FC236}">
              <a16:creationId xmlns:a16="http://schemas.microsoft.com/office/drawing/2014/main" id="{00000000-0008-0000-0100-00000D000000}"/>
            </a:ext>
          </a:extLst>
        </xdr:cNvPr>
        <xdr:cNvPicPr>
          <a:picLocks noChangeAspect="1"/>
        </xdr:cNvPicPr>
      </xdr:nvPicPr>
      <xdr:blipFill>
        <a:blip xmlns:r="http://schemas.openxmlformats.org/officeDocument/2006/relationships" r:embed="rId10"/>
        <a:stretch>
          <a:fillRect/>
        </a:stretch>
      </xdr:blipFill>
      <xdr:spPr>
        <a:xfrm>
          <a:off x="8886825" y="21612225"/>
          <a:ext cx="1447619" cy="180952"/>
        </a:xfrm>
        <a:prstGeom prst="rect">
          <a:avLst/>
        </a:prstGeom>
        <a:ln>
          <a:solidFill>
            <a:sysClr val="windowText" lastClr="000000"/>
          </a:solidFill>
        </a:ln>
      </xdr:spPr>
    </xdr:pic>
    <xdr:clientData/>
  </xdr:twoCellAnchor>
  <xdr:twoCellAnchor editAs="oneCell">
    <xdr:from>
      <xdr:col>2</xdr:col>
      <xdr:colOff>114300</xdr:colOff>
      <xdr:row>93</xdr:row>
      <xdr:rowOff>95250</xdr:rowOff>
    </xdr:from>
    <xdr:to>
      <xdr:col>2</xdr:col>
      <xdr:colOff>1238250</xdr:colOff>
      <xdr:row>100</xdr:row>
      <xdr:rowOff>71506</xdr:rowOff>
    </xdr:to>
    <xdr:pic>
      <xdr:nvPicPr>
        <xdr:cNvPr id="14" name="Picture 13">
          <a:extLst>
            <a:ext uri="{FF2B5EF4-FFF2-40B4-BE49-F238E27FC236}">
              <a16:creationId xmlns:a16="http://schemas.microsoft.com/office/drawing/2014/main" id="{00000000-0008-0000-0100-00000E000000}"/>
            </a:ext>
          </a:extLst>
        </xdr:cNvPr>
        <xdr:cNvPicPr>
          <a:picLocks noChangeAspect="1"/>
        </xdr:cNvPicPr>
      </xdr:nvPicPr>
      <xdr:blipFill>
        <a:blip xmlns:r="http://schemas.openxmlformats.org/officeDocument/2006/relationships" r:embed="rId11"/>
        <a:stretch>
          <a:fillRect/>
        </a:stretch>
      </xdr:blipFill>
      <xdr:spPr>
        <a:xfrm>
          <a:off x="3457575" y="22926675"/>
          <a:ext cx="1123950" cy="1376431"/>
        </a:xfrm>
        <a:prstGeom prst="rect">
          <a:avLst/>
        </a:prstGeom>
        <a:ln>
          <a:solidFill>
            <a:sysClr val="windowText" lastClr="000000"/>
          </a:solidFill>
        </a:ln>
      </xdr:spPr>
    </xdr:pic>
    <xdr:clientData/>
  </xdr:twoCellAnchor>
  <xdr:twoCellAnchor editAs="oneCell">
    <xdr:from>
      <xdr:col>2</xdr:col>
      <xdr:colOff>2095500</xdr:colOff>
      <xdr:row>92</xdr:row>
      <xdr:rowOff>257175</xdr:rowOff>
    </xdr:from>
    <xdr:to>
      <xdr:col>2</xdr:col>
      <xdr:colOff>3333595</xdr:colOff>
      <xdr:row>101</xdr:row>
      <xdr:rowOff>37877</xdr:rowOff>
    </xdr:to>
    <xdr:pic>
      <xdr:nvPicPr>
        <xdr:cNvPr id="15" name="Picture 14">
          <a:extLst>
            <a:ext uri="{FF2B5EF4-FFF2-40B4-BE49-F238E27FC236}">
              <a16:creationId xmlns:a16="http://schemas.microsoft.com/office/drawing/2014/main" id="{00000000-0008-0000-0100-00000F000000}"/>
            </a:ext>
          </a:extLst>
        </xdr:cNvPr>
        <xdr:cNvPicPr>
          <a:picLocks noChangeAspect="1"/>
        </xdr:cNvPicPr>
      </xdr:nvPicPr>
      <xdr:blipFill>
        <a:blip xmlns:r="http://schemas.openxmlformats.org/officeDocument/2006/relationships" r:embed="rId12"/>
        <a:stretch>
          <a:fillRect/>
        </a:stretch>
      </xdr:blipFill>
      <xdr:spPr>
        <a:xfrm>
          <a:off x="5438775" y="22688550"/>
          <a:ext cx="1238095" cy="1780952"/>
        </a:xfrm>
        <a:prstGeom prst="rect">
          <a:avLst/>
        </a:prstGeom>
        <a:ln>
          <a:solidFill>
            <a:sysClr val="windowText" lastClr="000000"/>
          </a:solidFill>
        </a:ln>
      </xdr:spPr>
    </xdr:pic>
    <xdr:clientData/>
  </xdr:twoCellAnchor>
  <xdr:twoCellAnchor editAs="oneCell">
    <xdr:from>
      <xdr:col>2</xdr:col>
      <xdr:colOff>3095625</xdr:colOff>
      <xdr:row>113</xdr:row>
      <xdr:rowOff>114300</xdr:rowOff>
    </xdr:from>
    <xdr:to>
      <xdr:col>2</xdr:col>
      <xdr:colOff>5524196</xdr:colOff>
      <xdr:row>116</xdr:row>
      <xdr:rowOff>142796</xdr:rowOff>
    </xdr:to>
    <xdr:pic>
      <xdr:nvPicPr>
        <xdr:cNvPr id="16" name="Picture 15">
          <a:extLst>
            <a:ext uri="{FF2B5EF4-FFF2-40B4-BE49-F238E27FC236}">
              <a16:creationId xmlns:a16="http://schemas.microsoft.com/office/drawing/2014/main" id="{00000000-0008-0000-0100-000010000000}"/>
            </a:ext>
          </a:extLst>
        </xdr:cNvPr>
        <xdr:cNvPicPr>
          <a:picLocks noChangeAspect="1"/>
        </xdr:cNvPicPr>
      </xdr:nvPicPr>
      <xdr:blipFill>
        <a:blip xmlns:r="http://schemas.openxmlformats.org/officeDocument/2006/relationships" r:embed="rId13"/>
        <a:stretch>
          <a:fillRect/>
        </a:stretch>
      </xdr:blipFill>
      <xdr:spPr>
        <a:xfrm>
          <a:off x="6438900" y="27536775"/>
          <a:ext cx="2428571" cy="628571"/>
        </a:xfrm>
        <a:prstGeom prst="rect">
          <a:avLst/>
        </a:prstGeom>
        <a:ln>
          <a:solidFill>
            <a:sysClr val="windowText" lastClr="000000"/>
          </a:solidFill>
        </a:ln>
      </xdr:spPr>
    </xdr:pic>
    <xdr:clientData/>
  </xdr:twoCellAnchor>
  <xdr:twoCellAnchor editAs="oneCell">
    <xdr:from>
      <xdr:col>2</xdr:col>
      <xdr:colOff>5953125</xdr:colOff>
      <xdr:row>112</xdr:row>
      <xdr:rowOff>28575</xdr:rowOff>
    </xdr:from>
    <xdr:to>
      <xdr:col>2</xdr:col>
      <xdr:colOff>7924554</xdr:colOff>
      <xdr:row>117</xdr:row>
      <xdr:rowOff>1784</xdr:rowOff>
    </xdr:to>
    <xdr:pic>
      <xdr:nvPicPr>
        <xdr:cNvPr id="17" name="Picture 16">
          <a:extLst>
            <a:ext uri="{FF2B5EF4-FFF2-40B4-BE49-F238E27FC236}">
              <a16:creationId xmlns:a16="http://schemas.microsoft.com/office/drawing/2014/main" id="{00000000-0008-0000-0100-000011000000}"/>
            </a:ext>
          </a:extLst>
        </xdr:cNvPr>
        <xdr:cNvPicPr>
          <a:picLocks noChangeAspect="1"/>
        </xdr:cNvPicPr>
      </xdr:nvPicPr>
      <xdr:blipFill>
        <a:blip xmlns:r="http://schemas.openxmlformats.org/officeDocument/2006/relationships" r:embed="rId14"/>
        <a:stretch>
          <a:fillRect/>
        </a:stretch>
      </xdr:blipFill>
      <xdr:spPr>
        <a:xfrm>
          <a:off x="9296400" y="27251025"/>
          <a:ext cx="1971429" cy="971429"/>
        </a:xfrm>
        <a:prstGeom prst="rect">
          <a:avLst/>
        </a:prstGeom>
        <a:ln>
          <a:solidFill>
            <a:sysClr val="windowText" lastClr="000000"/>
          </a:solidFill>
        </a:ln>
      </xdr:spPr>
    </xdr:pic>
    <xdr:clientData/>
  </xdr:twoCellAnchor>
  <xdr:twoCellAnchor>
    <xdr:from>
      <xdr:col>2</xdr:col>
      <xdr:colOff>9077325</xdr:colOff>
      <xdr:row>116</xdr:row>
      <xdr:rowOff>190500</xdr:rowOff>
    </xdr:from>
    <xdr:to>
      <xdr:col>2</xdr:col>
      <xdr:colOff>10125074</xdr:colOff>
      <xdr:row>122</xdr:row>
      <xdr:rowOff>19051</xdr:rowOff>
    </xdr:to>
    <xdr:grpSp>
      <xdr:nvGrpSpPr>
        <xdr:cNvPr id="18" name="Group 17">
          <a:extLst>
            <a:ext uri="{FF2B5EF4-FFF2-40B4-BE49-F238E27FC236}">
              <a16:creationId xmlns:a16="http://schemas.microsoft.com/office/drawing/2014/main" id="{00000000-0008-0000-0100-000012000000}"/>
            </a:ext>
          </a:extLst>
        </xdr:cNvPr>
        <xdr:cNvGrpSpPr/>
      </xdr:nvGrpSpPr>
      <xdr:grpSpPr>
        <a:xfrm>
          <a:off x="12569825" y="27698700"/>
          <a:ext cx="1054099" cy="1028701"/>
          <a:chOff x="12420600" y="27813000"/>
          <a:chExt cx="1047749" cy="1028701"/>
        </a:xfrm>
      </xdr:grpSpPr>
      <xdr:pic>
        <xdr:nvPicPr>
          <xdr:cNvPr id="19" name="Picture 18">
            <a:extLst>
              <a:ext uri="{FF2B5EF4-FFF2-40B4-BE49-F238E27FC236}">
                <a16:creationId xmlns:a16="http://schemas.microsoft.com/office/drawing/2014/main" id="{00000000-0008-0000-0100-000013000000}"/>
              </a:ext>
            </a:extLst>
          </xdr:cNvPr>
          <xdr:cNvPicPr>
            <a:picLocks noChangeAspect="1"/>
          </xdr:cNvPicPr>
        </xdr:nvPicPr>
        <xdr:blipFill>
          <a:blip xmlns:r="http://schemas.openxmlformats.org/officeDocument/2006/relationships" r:embed="rId15"/>
          <a:stretch>
            <a:fillRect/>
          </a:stretch>
        </xdr:blipFill>
        <xdr:spPr>
          <a:xfrm>
            <a:off x="12420600" y="27813000"/>
            <a:ext cx="961905" cy="952381"/>
          </a:xfrm>
          <a:prstGeom prst="rect">
            <a:avLst/>
          </a:prstGeom>
        </xdr:spPr>
      </xdr:pic>
      <xdr:sp macro="" textlink="">
        <xdr:nvSpPr>
          <xdr:cNvPr id="20" name="Oval 19">
            <a:extLst>
              <a:ext uri="{FF2B5EF4-FFF2-40B4-BE49-F238E27FC236}">
                <a16:creationId xmlns:a16="http://schemas.microsoft.com/office/drawing/2014/main" id="{00000000-0008-0000-0100-000014000000}"/>
              </a:ext>
            </a:extLst>
          </xdr:cNvPr>
          <xdr:cNvSpPr/>
        </xdr:nvSpPr>
        <xdr:spPr>
          <a:xfrm>
            <a:off x="13192124" y="28536901"/>
            <a:ext cx="276225" cy="304800"/>
          </a:xfrm>
          <a:prstGeom prst="ellipse">
            <a:avLst/>
          </a:prstGeom>
          <a:noFill/>
          <a:ln w="571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2</xdr:col>
      <xdr:colOff>4057650</xdr:colOff>
      <xdr:row>123</xdr:row>
      <xdr:rowOff>85725</xdr:rowOff>
    </xdr:from>
    <xdr:to>
      <xdr:col>2</xdr:col>
      <xdr:colOff>5438619</xdr:colOff>
      <xdr:row>133</xdr:row>
      <xdr:rowOff>114046</xdr:rowOff>
    </xdr:to>
    <xdr:grpSp>
      <xdr:nvGrpSpPr>
        <xdr:cNvPr id="21" name="Group 20">
          <a:extLst>
            <a:ext uri="{FF2B5EF4-FFF2-40B4-BE49-F238E27FC236}">
              <a16:creationId xmlns:a16="http://schemas.microsoft.com/office/drawing/2014/main" id="{00000000-0008-0000-0100-000015000000}"/>
            </a:ext>
          </a:extLst>
        </xdr:cNvPr>
        <xdr:cNvGrpSpPr/>
      </xdr:nvGrpSpPr>
      <xdr:grpSpPr>
        <a:xfrm>
          <a:off x="7553325" y="29181425"/>
          <a:ext cx="1384144" cy="2031746"/>
          <a:chOff x="7400925" y="29308425"/>
          <a:chExt cx="1380969" cy="2028571"/>
        </a:xfrm>
      </xdr:grpSpPr>
      <xdr:pic>
        <xdr:nvPicPr>
          <xdr:cNvPr id="22" name="Picture 21">
            <a:extLst>
              <a:ext uri="{FF2B5EF4-FFF2-40B4-BE49-F238E27FC236}">
                <a16:creationId xmlns:a16="http://schemas.microsoft.com/office/drawing/2014/main" id="{00000000-0008-0000-0100-000016000000}"/>
              </a:ext>
            </a:extLst>
          </xdr:cNvPr>
          <xdr:cNvPicPr>
            <a:picLocks noChangeAspect="1"/>
          </xdr:cNvPicPr>
        </xdr:nvPicPr>
        <xdr:blipFill>
          <a:blip xmlns:r="http://schemas.openxmlformats.org/officeDocument/2006/relationships" r:embed="rId16"/>
          <a:stretch>
            <a:fillRect/>
          </a:stretch>
        </xdr:blipFill>
        <xdr:spPr>
          <a:xfrm>
            <a:off x="7534275" y="29308425"/>
            <a:ext cx="1247619" cy="2028571"/>
          </a:xfrm>
          <a:prstGeom prst="rect">
            <a:avLst/>
          </a:prstGeom>
          <a:ln>
            <a:solidFill>
              <a:sysClr val="windowText" lastClr="000000"/>
            </a:solidFill>
          </a:ln>
        </xdr:spPr>
      </xdr:pic>
      <xdr:sp macro="" textlink="">
        <xdr:nvSpPr>
          <xdr:cNvPr id="23" name="Oval 22">
            <a:extLst>
              <a:ext uri="{FF2B5EF4-FFF2-40B4-BE49-F238E27FC236}">
                <a16:creationId xmlns:a16="http://schemas.microsoft.com/office/drawing/2014/main" id="{00000000-0008-0000-0100-000017000000}"/>
              </a:ext>
            </a:extLst>
          </xdr:cNvPr>
          <xdr:cNvSpPr/>
        </xdr:nvSpPr>
        <xdr:spPr>
          <a:xfrm>
            <a:off x="7400925" y="30079951"/>
            <a:ext cx="1333500" cy="561974"/>
          </a:xfrm>
          <a:prstGeom prst="ellipse">
            <a:avLst/>
          </a:prstGeom>
          <a:noFill/>
          <a:ln w="571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editAs="oneCell">
    <xdr:from>
      <xdr:col>2</xdr:col>
      <xdr:colOff>6381749</xdr:colOff>
      <xdr:row>152</xdr:row>
      <xdr:rowOff>47625</xdr:rowOff>
    </xdr:from>
    <xdr:to>
      <xdr:col>2</xdr:col>
      <xdr:colOff>9020174</xdr:colOff>
      <xdr:row>161</xdr:row>
      <xdr:rowOff>98529</xdr:rowOff>
    </xdr:to>
    <xdr:pic>
      <xdr:nvPicPr>
        <xdr:cNvPr id="24" name="Picture 23">
          <a:extLst>
            <a:ext uri="{FF2B5EF4-FFF2-40B4-BE49-F238E27FC236}">
              <a16:creationId xmlns:a16="http://schemas.microsoft.com/office/drawing/2014/main" id="{00000000-0008-0000-0100-000018000000}"/>
            </a:ext>
          </a:extLst>
        </xdr:cNvPr>
        <xdr:cNvPicPr>
          <a:picLocks noChangeAspect="1"/>
        </xdr:cNvPicPr>
      </xdr:nvPicPr>
      <xdr:blipFill>
        <a:blip xmlns:r="http://schemas.openxmlformats.org/officeDocument/2006/relationships" r:embed="rId17"/>
        <a:stretch>
          <a:fillRect/>
        </a:stretch>
      </xdr:blipFill>
      <xdr:spPr>
        <a:xfrm>
          <a:off x="9725024" y="36814125"/>
          <a:ext cx="2638425" cy="1946379"/>
        </a:xfrm>
        <a:prstGeom prst="rect">
          <a:avLst/>
        </a:prstGeom>
        <a:ln>
          <a:solidFill>
            <a:sysClr val="windowText" lastClr="000000"/>
          </a:solidFill>
        </a:ln>
      </xdr:spPr>
    </xdr:pic>
    <xdr:clientData/>
  </xdr:twoCellAnchor>
  <xdr:twoCellAnchor editAs="oneCell">
    <xdr:from>
      <xdr:col>2</xdr:col>
      <xdr:colOff>76200</xdr:colOff>
      <xdr:row>155</xdr:row>
      <xdr:rowOff>114300</xdr:rowOff>
    </xdr:from>
    <xdr:to>
      <xdr:col>2</xdr:col>
      <xdr:colOff>3628581</xdr:colOff>
      <xdr:row>158</xdr:row>
      <xdr:rowOff>161844</xdr:rowOff>
    </xdr:to>
    <xdr:pic>
      <xdr:nvPicPr>
        <xdr:cNvPr id="25" name="Picture 24">
          <a:extLst>
            <a:ext uri="{FF2B5EF4-FFF2-40B4-BE49-F238E27FC236}">
              <a16:creationId xmlns:a16="http://schemas.microsoft.com/office/drawing/2014/main" id="{00000000-0008-0000-0100-000019000000}"/>
            </a:ext>
          </a:extLst>
        </xdr:cNvPr>
        <xdr:cNvPicPr>
          <a:picLocks noChangeAspect="1"/>
        </xdr:cNvPicPr>
      </xdr:nvPicPr>
      <xdr:blipFill>
        <a:blip xmlns:r="http://schemas.openxmlformats.org/officeDocument/2006/relationships" r:embed="rId18"/>
        <a:stretch>
          <a:fillRect/>
        </a:stretch>
      </xdr:blipFill>
      <xdr:spPr>
        <a:xfrm>
          <a:off x="3419475" y="37576125"/>
          <a:ext cx="3552381" cy="647619"/>
        </a:xfrm>
        <a:prstGeom prst="rect">
          <a:avLst/>
        </a:prstGeom>
        <a:ln>
          <a:solidFill>
            <a:sysClr val="windowText" lastClr="000000"/>
          </a:solidFill>
        </a:ln>
      </xdr:spPr>
    </xdr:pic>
    <xdr:clientData/>
  </xdr:twoCellAnchor>
  <xdr:twoCellAnchor editAs="oneCell">
    <xdr:from>
      <xdr:col>2</xdr:col>
      <xdr:colOff>3914775</xdr:colOff>
      <xdr:row>155</xdr:row>
      <xdr:rowOff>76200</xdr:rowOff>
    </xdr:from>
    <xdr:to>
      <xdr:col>2</xdr:col>
      <xdr:colOff>5848108</xdr:colOff>
      <xdr:row>159</xdr:row>
      <xdr:rowOff>123719</xdr:rowOff>
    </xdr:to>
    <xdr:pic>
      <xdr:nvPicPr>
        <xdr:cNvPr id="26" name="Picture 25">
          <a:extLst>
            <a:ext uri="{FF2B5EF4-FFF2-40B4-BE49-F238E27FC236}">
              <a16:creationId xmlns:a16="http://schemas.microsoft.com/office/drawing/2014/main" id="{00000000-0008-0000-0100-00001A000000}"/>
            </a:ext>
          </a:extLst>
        </xdr:cNvPr>
        <xdr:cNvPicPr>
          <a:picLocks noChangeAspect="1"/>
        </xdr:cNvPicPr>
      </xdr:nvPicPr>
      <xdr:blipFill>
        <a:blip xmlns:r="http://schemas.openxmlformats.org/officeDocument/2006/relationships" r:embed="rId19"/>
        <a:stretch>
          <a:fillRect/>
        </a:stretch>
      </xdr:blipFill>
      <xdr:spPr>
        <a:xfrm>
          <a:off x="7258050" y="37538025"/>
          <a:ext cx="1933333" cy="847619"/>
        </a:xfrm>
        <a:prstGeom prst="rect">
          <a:avLst/>
        </a:prstGeom>
        <a:ln>
          <a:solidFill>
            <a:sysClr val="windowText" lastClr="000000"/>
          </a:solidFill>
        </a:ln>
      </xdr:spPr>
    </xdr:pic>
    <xdr:clientData/>
  </xdr:twoCellAnchor>
  <xdr:twoCellAnchor editAs="oneCell">
    <xdr:from>
      <xdr:col>2</xdr:col>
      <xdr:colOff>106680</xdr:colOff>
      <xdr:row>159</xdr:row>
      <xdr:rowOff>175260</xdr:rowOff>
    </xdr:from>
    <xdr:to>
      <xdr:col>2</xdr:col>
      <xdr:colOff>3231151</xdr:colOff>
      <xdr:row>162</xdr:row>
      <xdr:rowOff>129588</xdr:rowOff>
    </xdr:to>
    <xdr:pic>
      <xdr:nvPicPr>
        <xdr:cNvPr id="27" name="Picture 26">
          <a:extLst>
            <a:ext uri="{FF2B5EF4-FFF2-40B4-BE49-F238E27FC236}">
              <a16:creationId xmlns:a16="http://schemas.microsoft.com/office/drawing/2014/main" id="{9BED919E-ED53-9BB3-757B-E335EAAA0E66}"/>
            </a:ext>
          </a:extLst>
        </xdr:cNvPr>
        <xdr:cNvPicPr>
          <a:picLocks noChangeAspect="1"/>
        </xdr:cNvPicPr>
      </xdr:nvPicPr>
      <xdr:blipFill>
        <a:blip xmlns:r="http://schemas.openxmlformats.org/officeDocument/2006/relationships" r:embed="rId20"/>
        <a:stretch>
          <a:fillRect/>
        </a:stretch>
      </xdr:blipFill>
      <xdr:spPr>
        <a:xfrm>
          <a:off x="3543300" y="37932360"/>
          <a:ext cx="3124471" cy="548688"/>
        </a:xfrm>
        <a:prstGeom prst="rect">
          <a:avLst/>
        </a:prstGeom>
        <a:ln>
          <a:solidFill>
            <a:schemeClr val="tx1"/>
          </a:solidFill>
        </a:ln>
      </xdr:spPr>
    </xdr:pic>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dal.ca.libguides.com/prf.php?account_id=53640" TargetMode="External"/><Relationship Id="rId2" Type="http://schemas.openxmlformats.org/officeDocument/2006/relationships/hyperlink" Target="mailto:julie.marcoux@dal.ca" TargetMode="External"/><Relationship Id="rId1" Type="http://schemas.openxmlformats.org/officeDocument/2006/relationships/hyperlink" Target="https://creativecommons.org/licenses/by-nc/4.0/" TargetMode="External"/><Relationship Id="rId4"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D23F73-167F-415B-9B2F-09E6932DCBEC}">
  <sheetPr>
    <tabColor rgb="FF503353"/>
  </sheetPr>
  <dimension ref="A1:C17"/>
  <sheetViews>
    <sheetView workbookViewId="0">
      <selection activeCell="A2" sqref="A2"/>
    </sheetView>
  </sheetViews>
  <sheetFormatPr defaultRowHeight="14.5" x14ac:dyDescent="0.35"/>
  <cols>
    <col min="1" max="1" width="53.1796875" customWidth="1"/>
    <col min="2" max="2" width="76.453125" customWidth="1"/>
    <col min="3" max="3" width="33.1796875" customWidth="1"/>
  </cols>
  <sheetData>
    <row r="1" spans="1:3" ht="22.5" x14ac:dyDescent="0.45">
      <c r="A1" s="87" t="s">
        <v>474</v>
      </c>
    </row>
    <row r="2" spans="1:3" x14ac:dyDescent="0.35">
      <c r="A2" s="79"/>
    </row>
    <row r="3" spans="1:3" ht="20" thickBot="1" x14ac:dyDescent="0.5">
      <c r="A3" s="82" t="s">
        <v>465</v>
      </c>
      <c r="B3" s="84" t="s">
        <v>466</v>
      </c>
    </row>
    <row r="4" spans="1:3" ht="29.5" thickTop="1" x14ac:dyDescent="0.35">
      <c r="A4" s="86" t="s">
        <v>467</v>
      </c>
      <c r="B4" s="71" t="s">
        <v>468</v>
      </c>
    </row>
    <row r="5" spans="1:3" ht="29" x14ac:dyDescent="0.35">
      <c r="A5" s="86" t="s">
        <v>6</v>
      </c>
      <c r="B5" s="71" t="s">
        <v>469</v>
      </c>
    </row>
    <row r="6" spans="1:3" ht="29" x14ac:dyDescent="0.35">
      <c r="A6" s="86" t="s">
        <v>470</v>
      </c>
      <c r="B6" s="71" t="s">
        <v>471</v>
      </c>
    </row>
    <row r="7" spans="1:3" ht="29" x14ac:dyDescent="0.35">
      <c r="A7" s="86" t="s">
        <v>473</v>
      </c>
      <c r="B7" s="71" t="s">
        <v>472</v>
      </c>
    </row>
    <row r="9" spans="1:3" ht="20" thickBot="1" x14ac:dyDescent="0.5">
      <c r="A9" s="82" t="s">
        <v>455</v>
      </c>
      <c r="B9" s="84"/>
      <c r="C9" s="82"/>
    </row>
    <row r="10" spans="1:3" ht="29.5" thickTop="1" x14ac:dyDescent="0.35">
      <c r="A10" t="s">
        <v>456</v>
      </c>
      <c r="B10" s="85" t="s">
        <v>457</v>
      </c>
      <c r="C10" s="71" t="s">
        <v>458</v>
      </c>
    </row>
    <row r="11" spans="1:3" ht="58" x14ac:dyDescent="0.35">
      <c r="A11" s="71" t="s">
        <v>459</v>
      </c>
      <c r="B11" s="85" t="s">
        <v>460</v>
      </c>
    </row>
    <row r="13" spans="1:3" ht="20" thickBot="1" x14ac:dyDescent="0.5">
      <c r="A13" s="82" t="s">
        <v>461</v>
      </c>
      <c r="B13" s="84"/>
      <c r="C13" s="82"/>
    </row>
    <row r="14" spans="1:3" ht="29.5" thickTop="1" x14ac:dyDescent="0.35">
      <c r="A14" s="71" t="s">
        <v>462</v>
      </c>
      <c r="B14" s="85" t="s">
        <v>463</v>
      </c>
      <c r="C14" s="71" t="s">
        <v>464</v>
      </c>
    </row>
    <row r="16" spans="1:3" ht="20" thickBot="1" x14ac:dyDescent="0.5">
      <c r="A16" s="82" t="s">
        <v>453</v>
      </c>
      <c r="B16" s="82"/>
      <c r="C16" s="82"/>
    </row>
    <row r="17" spans="1:1" ht="15" thickTop="1" x14ac:dyDescent="0.35">
      <c r="A17" s="83" t="s">
        <v>454</v>
      </c>
    </row>
  </sheetData>
  <hyperlinks>
    <hyperlink ref="B10" r:id="rId1" xr:uid="{299A5785-2DD2-4657-8135-F67A5E2D783F}"/>
    <hyperlink ref="B11" r:id="rId2" xr:uid="{72531110-C3C9-4975-B555-CE225829F5F2}"/>
    <hyperlink ref="B14" r:id="rId3" xr:uid="{5B2661CD-224E-413E-81A9-9707F82E90C0}"/>
    <hyperlink ref="A4" location="'Useful Features'!A1" display="Useful Features" xr:uid="{BF3EC0B0-9707-4AC9-817B-CBAFC7014BCF}"/>
    <hyperlink ref="A5" location="Instructions!A1" display="Instructions" xr:uid="{E30A21DA-1C08-4C75-B83A-E93C7C8E515D}"/>
    <hyperlink ref="A6" location="Exercise!A1" display="Exercise" xr:uid="{84D34A87-7014-483F-B156-B6B90D0D3B26}"/>
    <hyperlink ref="A7" location="'Example Result'!A1" display="Example Result" xr:uid="{42919791-0490-4C21-BD43-B6005DAA0D1C}"/>
  </hyperlinks>
  <pageMargins left="0.7" right="0.7" top="0.75" bottom="0.75" header="0.3" footer="0.3"/>
  <pageSetup orientation="portrait"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7" tint="-0.499984740745262"/>
  </sheetPr>
  <dimension ref="A1:D493"/>
  <sheetViews>
    <sheetView topLeftCell="A236" zoomScaleNormal="100" workbookViewId="0">
      <selection activeCell="B218" sqref="B218"/>
    </sheetView>
  </sheetViews>
  <sheetFormatPr defaultColWidth="45" defaultRowHeight="14.5" x14ac:dyDescent="0.35"/>
  <cols>
    <col min="1" max="1" width="39.08984375" style="2" customWidth="1"/>
    <col min="2" max="2" width="47.08984375" customWidth="1"/>
  </cols>
  <sheetData>
    <row r="1" spans="1:3" s="6" customFormat="1" x14ac:dyDescent="0.35">
      <c r="A1" s="4"/>
    </row>
    <row r="2" spans="1:3" ht="42" customHeight="1" x14ac:dyDescent="0.35">
      <c r="A2" s="93" t="s">
        <v>3</v>
      </c>
      <c r="B2" s="89"/>
      <c r="C2" s="89"/>
    </row>
    <row r="3" spans="1:3" ht="19.5" customHeight="1" x14ac:dyDescent="0.35">
      <c r="A3" s="94" t="s">
        <v>330</v>
      </c>
      <c r="B3" s="95"/>
      <c r="C3" s="95"/>
    </row>
    <row r="4" spans="1:3" ht="15" customHeight="1" x14ac:dyDescent="0.35">
      <c r="A4" s="92" t="s">
        <v>215</v>
      </c>
      <c r="B4" s="88"/>
      <c r="C4" s="88"/>
    </row>
    <row r="5" spans="1:3" ht="15" customHeight="1" x14ac:dyDescent="0.35">
      <c r="A5" s="88" t="s">
        <v>250</v>
      </c>
      <c r="B5" s="88"/>
      <c r="C5" s="88"/>
    </row>
    <row r="6" spans="1:3" ht="15" customHeight="1" x14ac:dyDescent="0.35">
      <c r="A6" s="92" t="s">
        <v>286</v>
      </c>
      <c r="B6" s="88"/>
      <c r="C6" s="88"/>
    </row>
    <row r="7" spans="1:3" ht="15" customHeight="1" x14ac:dyDescent="0.35">
      <c r="A7" s="92" t="s">
        <v>290</v>
      </c>
      <c r="B7" s="88"/>
      <c r="C7" s="88"/>
    </row>
    <row r="8" spans="1:3" ht="15" customHeight="1" x14ac:dyDescent="0.35">
      <c r="A8" s="92" t="s">
        <v>302</v>
      </c>
      <c r="B8" s="88"/>
      <c r="C8" s="88"/>
    </row>
    <row r="9" spans="1:3" ht="15" customHeight="1" x14ac:dyDescent="0.35">
      <c r="A9" s="92" t="s">
        <v>318</v>
      </c>
      <c r="B9" s="88"/>
      <c r="C9" s="88"/>
    </row>
    <row r="10" spans="1:3" ht="15" customHeight="1" x14ac:dyDescent="0.35">
      <c r="B10" s="1"/>
    </row>
    <row r="11" spans="1:3" s="6" customFormat="1" ht="15" customHeight="1" x14ac:dyDescent="0.35">
      <c r="A11" s="4"/>
      <c r="B11" s="5"/>
    </row>
    <row r="12" spans="1:3" x14ac:dyDescent="0.35">
      <c r="A12" s="88" t="s">
        <v>3</v>
      </c>
      <c r="B12" s="89"/>
      <c r="C12" s="89"/>
    </row>
    <row r="13" spans="1:3" ht="24.75" customHeight="1" x14ac:dyDescent="0.55000000000000004">
      <c r="A13" s="90" t="s">
        <v>215</v>
      </c>
      <c r="B13" s="91"/>
      <c r="C13" s="91"/>
    </row>
    <row r="14" spans="1:3" ht="15" customHeight="1" x14ac:dyDescent="0.35">
      <c r="A14" s="10" t="s">
        <v>216</v>
      </c>
      <c r="B14" s="1"/>
    </row>
    <row r="15" spans="1:3" ht="15" customHeight="1" x14ac:dyDescent="0.35">
      <c r="A15" s="10" t="s">
        <v>4</v>
      </c>
      <c r="B15" s="1"/>
    </row>
    <row r="16" spans="1:3" ht="15" customHeight="1" x14ac:dyDescent="0.35">
      <c r="A16" s="10" t="s">
        <v>217</v>
      </c>
      <c r="B16" s="1"/>
    </row>
    <row r="17" spans="1:2" x14ac:dyDescent="0.35">
      <c r="A17" s="10" t="s">
        <v>259</v>
      </c>
    </row>
    <row r="18" spans="1:2" x14ac:dyDescent="0.35">
      <c r="A18" s="10" t="s">
        <v>260</v>
      </c>
    </row>
    <row r="19" spans="1:2" ht="15" customHeight="1" x14ac:dyDescent="0.35">
      <c r="A19" s="10" t="s">
        <v>427</v>
      </c>
      <c r="B19" s="1"/>
    </row>
    <row r="20" spans="1:2" ht="15" customHeight="1" x14ac:dyDescent="0.35">
      <c r="B20" s="1"/>
    </row>
    <row r="21" spans="1:2" s="9" customFormat="1" x14ac:dyDescent="0.35">
      <c r="A21" s="7"/>
      <c r="B21" s="8" t="s">
        <v>216</v>
      </c>
    </row>
    <row r="22" spans="1:2" x14ac:dyDescent="0.35">
      <c r="B22" s="20"/>
    </row>
    <row r="23" spans="1:2" ht="15" customHeight="1" x14ac:dyDescent="0.35">
      <c r="A23" s="2" t="s">
        <v>218</v>
      </c>
      <c r="B23" s="19" t="s">
        <v>418</v>
      </c>
    </row>
    <row r="24" spans="1:2" ht="15" customHeight="1" x14ac:dyDescent="0.35">
      <c r="A24" s="2" t="s">
        <v>219</v>
      </c>
      <c r="B24" s="19" t="s">
        <v>220</v>
      </c>
    </row>
    <row r="25" spans="1:2" ht="15" customHeight="1" x14ac:dyDescent="0.35">
      <c r="A25" s="2" t="s">
        <v>221</v>
      </c>
      <c r="B25" s="19" t="s">
        <v>236</v>
      </c>
    </row>
    <row r="26" spans="1:2" ht="15" customHeight="1" x14ac:dyDescent="0.35">
      <c r="A26" s="2" t="s">
        <v>222</v>
      </c>
      <c r="B26" s="19" t="s">
        <v>237</v>
      </c>
    </row>
    <row r="27" spans="1:2" ht="15" customHeight="1" x14ac:dyDescent="0.35">
      <c r="A27" s="2" t="s">
        <v>225</v>
      </c>
      <c r="B27" s="19" t="s">
        <v>238</v>
      </c>
    </row>
    <row r="28" spans="1:2" ht="15" customHeight="1" x14ac:dyDescent="0.35">
      <c r="A28" s="2" t="s">
        <v>226</v>
      </c>
      <c r="B28" s="19" t="s">
        <v>239</v>
      </c>
    </row>
    <row r="29" spans="1:2" ht="15" customHeight="1" x14ac:dyDescent="0.35">
      <c r="A29" s="2" t="s">
        <v>5</v>
      </c>
      <c r="B29" s="19" t="s">
        <v>224</v>
      </c>
    </row>
    <row r="30" spans="1:2" ht="15" customHeight="1" x14ac:dyDescent="0.35">
      <c r="A30" s="2" t="s">
        <v>227</v>
      </c>
      <c r="B30" s="19" t="s">
        <v>228</v>
      </c>
    </row>
    <row r="31" spans="1:2" ht="15" customHeight="1" x14ac:dyDescent="0.35">
      <c r="B31" s="19"/>
    </row>
    <row r="32" spans="1:2" ht="15" customHeight="1" x14ac:dyDescent="0.35">
      <c r="B32" s="19"/>
    </row>
    <row r="33" spans="1:2" ht="15" customHeight="1" x14ac:dyDescent="0.35">
      <c r="B33" s="19"/>
    </row>
    <row r="34" spans="1:2" x14ac:dyDescent="0.35">
      <c r="A34" s="2" t="s">
        <v>223</v>
      </c>
      <c r="B34" s="14" t="s">
        <v>229</v>
      </c>
    </row>
    <row r="35" spans="1:2" x14ac:dyDescent="0.35">
      <c r="A35" s="2" t="s">
        <v>223</v>
      </c>
      <c r="B35" s="14" t="s">
        <v>423</v>
      </c>
    </row>
    <row r="36" spans="1:2" x14ac:dyDescent="0.35">
      <c r="B36" s="14" t="s">
        <v>422</v>
      </c>
    </row>
    <row r="37" spans="1:2" ht="15" customHeight="1" x14ac:dyDescent="0.35"/>
    <row r="38" spans="1:2" s="9" customFormat="1" x14ac:dyDescent="0.35">
      <c r="A38" s="7"/>
      <c r="B38" s="8" t="s">
        <v>4</v>
      </c>
    </row>
    <row r="39" spans="1:2" x14ac:dyDescent="0.35">
      <c r="B39" s="20"/>
    </row>
    <row r="40" spans="1:2" s="1" customFormat="1" ht="15" customHeight="1" x14ac:dyDescent="0.35">
      <c r="A40" s="18" t="s">
        <v>230</v>
      </c>
      <c r="B40" s="19" t="s">
        <v>240</v>
      </c>
    </row>
    <row r="41" spans="1:2" ht="15" customHeight="1" x14ac:dyDescent="0.35">
      <c r="A41" s="2" t="s">
        <v>231</v>
      </c>
      <c r="B41" s="19" t="s">
        <v>241</v>
      </c>
    </row>
    <row r="42" spans="1:2" ht="15" customHeight="1" x14ac:dyDescent="0.35">
      <c r="A42" s="2" t="s">
        <v>235</v>
      </c>
      <c r="B42" s="19" t="s">
        <v>242</v>
      </c>
    </row>
    <row r="43" spans="1:2" ht="15" customHeight="1" x14ac:dyDescent="0.35">
      <c r="A43" s="2" t="s">
        <v>232</v>
      </c>
      <c r="B43" s="19" t="s">
        <v>243</v>
      </c>
    </row>
    <row r="44" spans="1:2" ht="15" customHeight="1" x14ac:dyDescent="0.35">
      <c r="A44" s="2" t="s">
        <v>233</v>
      </c>
      <c r="B44" s="19" t="s">
        <v>244</v>
      </c>
    </row>
    <row r="45" spans="1:2" ht="15" customHeight="1" x14ac:dyDescent="0.35">
      <c r="A45" s="2" t="s">
        <v>234</v>
      </c>
      <c r="B45" s="19" t="s">
        <v>245</v>
      </c>
    </row>
    <row r="46" spans="1:2" ht="15" customHeight="1" x14ac:dyDescent="0.35">
      <c r="B46" s="19"/>
    </row>
    <row r="47" spans="1:2" s="9" customFormat="1" x14ac:dyDescent="0.35">
      <c r="A47" s="7"/>
      <c r="B47" s="8" t="s">
        <v>217</v>
      </c>
    </row>
    <row r="48" spans="1:2" ht="15" customHeight="1" x14ac:dyDescent="0.35">
      <c r="B48" s="19"/>
    </row>
    <row r="49" spans="1:2" ht="15" customHeight="1" x14ac:dyDescent="0.35">
      <c r="B49" s="19" t="s">
        <v>246</v>
      </c>
    </row>
    <row r="50" spans="1:2" ht="15" customHeight="1" x14ac:dyDescent="0.35">
      <c r="B50" s="19" t="s">
        <v>247</v>
      </c>
    </row>
    <row r="51" spans="1:2" ht="15" customHeight="1" x14ac:dyDescent="0.35">
      <c r="B51" s="19" t="s">
        <v>248</v>
      </c>
    </row>
    <row r="52" spans="1:2" ht="15" customHeight="1" x14ac:dyDescent="0.35">
      <c r="B52" s="19"/>
    </row>
    <row r="53" spans="1:2" ht="15" customHeight="1" x14ac:dyDescent="0.35">
      <c r="B53" s="19"/>
    </row>
    <row r="54" spans="1:2" ht="15" customHeight="1" x14ac:dyDescent="0.35">
      <c r="B54" s="19"/>
    </row>
    <row r="55" spans="1:2" ht="15" customHeight="1" x14ac:dyDescent="0.35">
      <c r="B55" s="19"/>
    </row>
    <row r="56" spans="1:2" ht="15" customHeight="1" x14ac:dyDescent="0.35">
      <c r="A56" s="2" t="s">
        <v>249</v>
      </c>
      <c r="B56" s="19"/>
    </row>
    <row r="57" spans="1:2" ht="15" customHeight="1" x14ac:dyDescent="0.35">
      <c r="B57" s="19"/>
    </row>
    <row r="58" spans="1:2" ht="15" customHeight="1" x14ac:dyDescent="0.35">
      <c r="B58" s="19"/>
    </row>
    <row r="59" spans="1:2" ht="15" customHeight="1" x14ac:dyDescent="0.35"/>
    <row r="60" spans="1:2" s="9" customFormat="1" x14ac:dyDescent="0.35">
      <c r="A60" s="7"/>
      <c r="B60" s="8" t="s">
        <v>259</v>
      </c>
    </row>
    <row r="61" spans="1:2" x14ac:dyDescent="0.35">
      <c r="B61" s="13"/>
    </row>
    <row r="62" spans="1:2" x14ac:dyDescent="0.35">
      <c r="B62" s="16" t="s">
        <v>273</v>
      </c>
    </row>
    <row r="67" spans="1:2" x14ac:dyDescent="0.35">
      <c r="A67" s="2" t="s">
        <v>281</v>
      </c>
    </row>
    <row r="72" spans="1:2" x14ac:dyDescent="0.35">
      <c r="B72" s="16"/>
    </row>
    <row r="74" spans="1:2" x14ac:dyDescent="0.35">
      <c r="A74" s="2" t="s">
        <v>274</v>
      </c>
    </row>
    <row r="78" spans="1:2" x14ac:dyDescent="0.35">
      <c r="B78" s="16" t="s">
        <v>275</v>
      </c>
    </row>
    <row r="79" spans="1:2" x14ac:dyDescent="0.35">
      <c r="B79" s="16" t="s">
        <v>276</v>
      </c>
    </row>
    <row r="80" spans="1:2" x14ac:dyDescent="0.35">
      <c r="B80" s="16"/>
    </row>
    <row r="86" spans="1:2" s="9" customFormat="1" x14ac:dyDescent="0.35">
      <c r="A86" s="7"/>
      <c r="B86" s="8" t="s">
        <v>277</v>
      </c>
    </row>
    <row r="88" spans="1:2" x14ac:dyDescent="0.35">
      <c r="B88" s="16" t="s">
        <v>278</v>
      </c>
    </row>
    <row r="89" spans="1:2" x14ac:dyDescent="0.35">
      <c r="B89" s="16" t="s">
        <v>279</v>
      </c>
    </row>
    <row r="90" spans="1:2" x14ac:dyDescent="0.35">
      <c r="B90" s="16" t="s">
        <v>280</v>
      </c>
    </row>
    <row r="93" spans="1:2" x14ac:dyDescent="0.35">
      <c r="A93" s="2" t="s">
        <v>281</v>
      </c>
    </row>
    <row r="100" spans="1:2" x14ac:dyDescent="0.35">
      <c r="A100" s="2" t="s">
        <v>274</v>
      </c>
    </row>
    <row r="106" spans="1:2" s="9" customFormat="1" x14ac:dyDescent="0.35">
      <c r="A106" s="7"/>
      <c r="B106" s="8" t="s">
        <v>426</v>
      </c>
    </row>
    <row r="108" spans="1:2" x14ac:dyDescent="0.35">
      <c r="B108" s="16" t="s">
        <v>428</v>
      </c>
    </row>
    <row r="109" spans="1:2" x14ac:dyDescent="0.35">
      <c r="B109" s="16" t="s">
        <v>429</v>
      </c>
    </row>
    <row r="110" spans="1:2" x14ac:dyDescent="0.35">
      <c r="B110" s="16" t="s">
        <v>430</v>
      </c>
    </row>
    <row r="113" spans="1:2" x14ac:dyDescent="0.35">
      <c r="A113" s="2" t="s">
        <v>249</v>
      </c>
    </row>
    <row r="118" spans="1:2" x14ac:dyDescent="0.35">
      <c r="B118" s="16" t="s">
        <v>431</v>
      </c>
    </row>
    <row r="119" spans="1:2" x14ac:dyDescent="0.35">
      <c r="B119" s="16"/>
    </row>
    <row r="120" spans="1:2" x14ac:dyDescent="0.35">
      <c r="B120" s="16"/>
    </row>
    <row r="121" spans="1:2" x14ac:dyDescent="0.35">
      <c r="B121" s="16"/>
    </row>
    <row r="122" spans="1:2" x14ac:dyDescent="0.35">
      <c r="B122" s="16"/>
    </row>
    <row r="123" spans="1:2" x14ac:dyDescent="0.35">
      <c r="B123" s="16"/>
    </row>
    <row r="124" spans="1:2" x14ac:dyDescent="0.35">
      <c r="B124" s="16"/>
    </row>
    <row r="125" spans="1:2" x14ac:dyDescent="0.35">
      <c r="A125" s="2" t="s">
        <v>249</v>
      </c>
      <c r="B125" s="16"/>
    </row>
    <row r="126" spans="1:2" x14ac:dyDescent="0.35">
      <c r="B126" s="16"/>
    </row>
    <row r="135" spans="1:3" ht="15" customHeight="1" x14ac:dyDescent="0.35">
      <c r="B135" s="1"/>
    </row>
    <row r="136" spans="1:3" s="6" customFormat="1" ht="15" customHeight="1" x14ac:dyDescent="0.35">
      <c r="A136" s="4"/>
      <c r="B136" s="5"/>
    </row>
    <row r="137" spans="1:3" x14ac:dyDescent="0.35">
      <c r="A137" s="88" t="s">
        <v>3</v>
      </c>
      <c r="B137" s="89"/>
      <c r="C137" s="89"/>
    </row>
    <row r="138" spans="1:3" ht="24.75" customHeight="1" x14ac:dyDescent="0.55000000000000004">
      <c r="A138" s="90" t="s">
        <v>250</v>
      </c>
      <c r="B138" s="91"/>
      <c r="C138" s="91"/>
    </row>
    <row r="139" spans="1:3" x14ac:dyDescent="0.35">
      <c r="A139" s="10"/>
    </row>
    <row r="140" spans="1:3" x14ac:dyDescent="0.35">
      <c r="A140" s="10" t="s">
        <v>251</v>
      </c>
    </row>
    <row r="141" spans="1:3" x14ac:dyDescent="0.35">
      <c r="A141" s="10" t="s">
        <v>252</v>
      </c>
    </row>
    <row r="142" spans="1:3" x14ac:dyDescent="0.35">
      <c r="A142" s="10" t="s">
        <v>253</v>
      </c>
    </row>
    <row r="143" spans="1:3" x14ac:dyDescent="0.35">
      <c r="A143" s="10" t="s">
        <v>254</v>
      </c>
    </row>
    <row r="144" spans="1:3" x14ac:dyDescent="0.35">
      <c r="A144" s="10" t="s">
        <v>255</v>
      </c>
    </row>
    <row r="145" spans="1:2" x14ac:dyDescent="0.35">
      <c r="A145" s="10" t="s">
        <v>256</v>
      </c>
    </row>
    <row r="146" spans="1:2" x14ac:dyDescent="0.35">
      <c r="A146" s="10" t="s">
        <v>257</v>
      </c>
    </row>
    <row r="147" spans="1:2" x14ac:dyDescent="0.35">
      <c r="A147" s="10" t="s">
        <v>258</v>
      </c>
    </row>
    <row r="148" spans="1:2" x14ac:dyDescent="0.35">
      <c r="A148" s="10" t="s">
        <v>261</v>
      </c>
    </row>
    <row r="149" spans="1:2" s="12" customFormat="1" ht="23.25" customHeight="1" x14ac:dyDescent="0.35">
      <c r="A149" s="11"/>
    </row>
    <row r="150" spans="1:2" s="9" customFormat="1" x14ac:dyDescent="0.35">
      <c r="A150" s="7"/>
      <c r="B150" s="8" t="s">
        <v>251</v>
      </c>
    </row>
    <row r="151" spans="1:2" ht="12" customHeight="1" x14ac:dyDescent="0.35">
      <c r="B151" s="13"/>
    </row>
    <row r="152" spans="1:2" x14ac:dyDescent="0.35">
      <c r="B152" s="16" t="s">
        <v>262</v>
      </c>
    </row>
    <row r="153" spans="1:2" x14ac:dyDescent="0.35">
      <c r="A153"/>
      <c r="B153" s="13"/>
    </row>
    <row r="154" spans="1:2" x14ac:dyDescent="0.35">
      <c r="B154" s="13"/>
    </row>
    <row r="155" spans="1:2" x14ac:dyDescent="0.35">
      <c r="A155" s="2" t="s">
        <v>263</v>
      </c>
    </row>
    <row r="156" spans="1:2" ht="23.25" customHeight="1" x14ac:dyDescent="0.35"/>
    <row r="157" spans="1:2" x14ac:dyDescent="0.35">
      <c r="B157" s="16" t="s">
        <v>264</v>
      </c>
    </row>
    <row r="159" spans="1:2" s="9" customFormat="1" x14ac:dyDescent="0.35">
      <c r="A159" s="7"/>
      <c r="B159" s="8" t="s">
        <v>265</v>
      </c>
    </row>
    <row r="160" spans="1:2" x14ac:dyDescent="0.35">
      <c r="B160" s="3"/>
    </row>
    <row r="163" spans="1:4" x14ac:dyDescent="0.35">
      <c r="A163" s="2" t="s">
        <v>266</v>
      </c>
      <c r="D163" s="2"/>
    </row>
    <row r="168" spans="1:4" s="9" customFormat="1" x14ac:dyDescent="0.35">
      <c r="A168" s="7"/>
      <c r="B168" s="8" t="s">
        <v>253</v>
      </c>
    </row>
    <row r="169" spans="1:4" ht="9" customHeight="1" x14ac:dyDescent="0.35"/>
    <row r="173" spans="1:4" x14ac:dyDescent="0.35">
      <c r="A173" s="2" t="s">
        <v>267</v>
      </c>
    </row>
    <row r="177" spans="1:2" ht="17.25" customHeight="1" x14ac:dyDescent="0.35"/>
    <row r="178" spans="1:2" x14ac:dyDescent="0.35">
      <c r="B178" s="14" t="s">
        <v>268</v>
      </c>
    </row>
    <row r="180" spans="1:2" s="9" customFormat="1" x14ac:dyDescent="0.35">
      <c r="A180" s="7"/>
      <c r="B180" s="8" t="s">
        <v>254</v>
      </c>
    </row>
    <row r="183" spans="1:2" x14ac:dyDescent="0.35">
      <c r="A183" s="2" t="s">
        <v>267</v>
      </c>
    </row>
    <row r="188" spans="1:2" s="9" customFormat="1" x14ac:dyDescent="0.35">
      <c r="A188" s="7"/>
      <c r="B188" s="8" t="s">
        <v>255</v>
      </c>
    </row>
    <row r="191" spans="1:2" x14ac:dyDescent="0.35">
      <c r="A191" s="2" t="s">
        <v>266</v>
      </c>
    </row>
    <row r="195" spans="1:2" x14ac:dyDescent="0.35">
      <c r="B195" s="16" t="s">
        <v>419</v>
      </c>
    </row>
    <row r="198" spans="1:2" s="9" customFormat="1" x14ac:dyDescent="0.35">
      <c r="A198" s="7"/>
      <c r="B198" s="8" t="s">
        <v>256</v>
      </c>
    </row>
    <row r="202" spans="1:2" x14ac:dyDescent="0.35">
      <c r="A202"/>
    </row>
    <row r="203" spans="1:2" x14ac:dyDescent="0.35">
      <c r="A203" s="2" t="s">
        <v>266</v>
      </c>
    </row>
    <row r="210" spans="1:2" s="9" customFormat="1" x14ac:dyDescent="0.35">
      <c r="A210" s="7"/>
      <c r="B210" s="8" t="s">
        <v>257</v>
      </c>
    </row>
    <row r="212" spans="1:2" x14ac:dyDescent="0.35">
      <c r="A212"/>
    </row>
    <row r="213" spans="1:2" x14ac:dyDescent="0.35">
      <c r="A213"/>
    </row>
    <row r="214" spans="1:2" x14ac:dyDescent="0.35">
      <c r="A214" s="2" t="s">
        <v>269</v>
      </c>
    </row>
    <row r="215" spans="1:2" x14ac:dyDescent="0.35">
      <c r="A215"/>
    </row>
    <row r="223" spans="1:2" x14ac:dyDescent="0.35">
      <c r="A223" s="2" t="s">
        <v>270</v>
      </c>
    </row>
    <row r="227" spans="1:2" x14ac:dyDescent="0.35">
      <c r="B227" s="16" t="s">
        <v>271</v>
      </c>
    </row>
    <row r="229" spans="1:2" s="9" customFormat="1" x14ac:dyDescent="0.35">
      <c r="A229" s="7"/>
      <c r="B229" s="8" t="s">
        <v>258</v>
      </c>
    </row>
    <row r="232" spans="1:2" x14ac:dyDescent="0.35">
      <c r="A232" s="2" t="s">
        <v>266</v>
      </c>
    </row>
    <row r="236" spans="1:2" x14ac:dyDescent="0.35">
      <c r="B236" s="16" t="s">
        <v>272</v>
      </c>
    </row>
    <row r="238" spans="1:2" s="9" customFormat="1" x14ac:dyDescent="0.35">
      <c r="A238" s="7"/>
      <c r="B238" s="8" t="s">
        <v>261</v>
      </c>
    </row>
    <row r="241" spans="1:3" x14ac:dyDescent="0.35">
      <c r="A241" s="2" t="s">
        <v>282</v>
      </c>
    </row>
    <row r="244" spans="1:3" x14ac:dyDescent="0.35">
      <c r="B244" s="17" t="s">
        <v>283</v>
      </c>
    </row>
    <row r="247" spans="1:3" x14ac:dyDescent="0.35">
      <c r="A247" s="2" t="s">
        <v>285</v>
      </c>
    </row>
    <row r="250" spans="1:3" x14ac:dyDescent="0.35">
      <c r="B250" s="17" t="s">
        <v>284</v>
      </c>
    </row>
    <row r="253" spans="1:3" s="6" customFormat="1" ht="15" customHeight="1" x14ac:dyDescent="0.35">
      <c r="A253" s="4"/>
      <c r="B253" s="5"/>
    </row>
    <row r="254" spans="1:3" x14ac:dyDescent="0.35">
      <c r="A254" s="88" t="s">
        <v>3</v>
      </c>
      <c r="B254" s="89"/>
      <c r="C254" s="89"/>
    </row>
    <row r="255" spans="1:3" ht="24.75" customHeight="1" x14ac:dyDescent="0.55000000000000004">
      <c r="A255" s="90" t="s">
        <v>286</v>
      </c>
      <c r="B255" s="91"/>
      <c r="C255" s="91"/>
    </row>
    <row r="256" spans="1:3" ht="15" customHeight="1" x14ac:dyDescent="0.35">
      <c r="B256" s="1"/>
    </row>
    <row r="257" spans="1:2" s="9" customFormat="1" x14ac:dyDescent="0.35">
      <c r="A257" s="7"/>
      <c r="B257" s="8"/>
    </row>
    <row r="258" spans="1:2" ht="15" customHeight="1" x14ac:dyDescent="0.35">
      <c r="B258" s="16" t="s">
        <v>292</v>
      </c>
    </row>
    <row r="259" spans="1:2" ht="15" customHeight="1" x14ac:dyDescent="0.35">
      <c r="B259" s="19"/>
    </row>
    <row r="260" spans="1:2" ht="15" customHeight="1" x14ac:dyDescent="0.35">
      <c r="B260" s="19"/>
    </row>
    <row r="261" spans="1:2" ht="15" customHeight="1" x14ac:dyDescent="0.35">
      <c r="A261" s="2" t="s">
        <v>287</v>
      </c>
      <c r="B261" s="19"/>
    </row>
    <row r="265" spans="1:2" x14ac:dyDescent="0.35">
      <c r="B265" s="16" t="s">
        <v>293</v>
      </c>
    </row>
    <row r="273" spans="2:2" x14ac:dyDescent="0.35">
      <c r="B273" s="16" t="s">
        <v>294</v>
      </c>
    </row>
    <row r="287" spans="2:2" x14ac:dyDescent="0.35">
      <c r="B287" s="16" t="s">
        <v>295</v>
      </c>
    </row>
    <row r="305" spans="2:2" x14ac:dyDescent="0.35">
      <c r="B305" s="16" t="s">
        <v>289</v>
      </c>
    </row>
    <row r="306" spans="2:2" x14ac:dyDescent="0.35">
      <c r="B306" s="21" t="s">
        <v>288</v>
      </c>
    </row>
    <row r="307" spans="2:2" x14ac:dyDescent="0.35">
      <c r="B307" s="16" t="s">
        <v>296</v>
      </c>
    </row>
    <row r="329" spans="1:3" s="6" customFormat="1" ht="15" customHeight="1" x14ac:dyDescent="0.35">
      <c r="A329" s="4"/>
      <c r="B329" s="5"/>
    </row>
    <row r="330" spans="1:3" x14ac:dyDescent="0.35">
      <c r="A330" s="88" t="s">
        <v>3</v>
      </c>
      <c r="B330" s="89"/>
      <c r="C330" s="89"/>
    </row>
    <row r="331" spans="1:3" ht="24.75" customHeight="1" x14ac:dyDescent="0.55000000000000004">
      <c r="A331" s="90" t="s">
        <v>290</v>
      </c>
      <c r="B331" s="91"/>
      <c r="C331" s="91"/>
    </row>
    <row r="332" spans="1:3" ht="13.5" customHeight="1" x14ac:dyDescent="0.35">
      <c r="B332" s="1"/>
    </row>
    <row r="333" spans="1:3" s="9" customFormat="1" x14ac:dyDescent="0.35">
      <c r="A333" s="7"/>
      <c r="B333" s="8"/>
    </row>
    <row r="334" spans="1:3" ht="15" customHeight="1" x14ac:dyDescent="0.35">
      <c r="B334" s="16" t="s">
        <v>297</v>
      </c>
      <c r="C334" s="16"/>
    </row>
    <row r="337" spans="1:3" x14ac:dyDescent="0.35">
      <c r="A337" s="2" t="s">
        <v>291</v>
      </c>
    </row>
    <row r="341" spans="1:3" x14ac:dyDescent="0.35">
      <c r="B341" s="16" t="s">
        <v>298</v>
      </c>
    </row>
    <row r="349" spans="1:3" ht="18.75" customHeight="1" x14ac:dyDescent="0.35"/>
    <row r="350" spans="1:3" x14ac:dyDescent="0.35">
      <c r="B350" s="16" t="s">
        <v>300</v>
      </c>
    </row>
    <row r="352" spans="1:3" x14ac:dyDescent="0.35">
      <c r="C352" s="16" t="s">
        <v>301</v>
      </c>
    </row>
    <row r="357" spans="1:2" ht="19.5" customHeight="1" x14ac:dyDescent="0.35"/>
    <row r="358" spans="1:2" x14ac:dyDescent="0.35">
      <c r="B358" s="16" t="s">
        <v>299</v>
      </c>
    </row>
    <row r="359" spans="1:2" x14ac:dyDescent="0.35">
      <c r="B359" s="16" t="s">
        <v>417</v>
      </c>
    </row>
    <row r="368" spans="1:2" s="6" customFormat="1" ht="15" customHeight="1" x14ac:dyDescent="0.35">
      <c r="A368" s="4"/>
      <c r="B368" s="5"/>
    </row>
    <row r="369" spans="1:3" x14ac:dyDescent="0.35">
      <c r="A369" s="88" t="s">
        <v>3</v>
      </c>
      <c r="B369" s="89"/>
      <c r="C369" s="89"/>
    </row>
    <row r="370" spans="1:3" ht="24.75" customHeight="1" x14ac:dyDescent="0.55000000000000004">
      <c r="A370" s="90" t="s">
        <v>302</v>
      </c>
      <c r="B370" s="91"/>
      <c r="C370" s="91"/>
    </row>
    <row r="371" spans="1:3" x14ac:dyDescent="0.35">
      <c r="A371" s="10" t="s">
        <v>303</v>
      </c>
    </row>
    <row r="372" spans="1:3" x14ac:dyDescent="0.35">
      <c r="A372" s="10" t="s">
        <v>304</v>
      </c>
    </row>
    <row r="373" spans="1:3" ht="13.5" customHeight="1" x14ac:dyDescent="0.35">
      <c r="B373" s="1"/>
    </row>
    <row r="374" spans="1:3" s="9" customFormat="1" x14ac:dyDescent="0.35">
      <c r="A374" s="7"/>
      <c r="B374" s="8" t="s">
        <v>303</v>
      </c>
    </row>
    <row r="375" spans="1:3" x14ac:dyDescent="0.35">
      <c r="B375" s="20"/>
    </row>
    <row r="376" spans="1:3" x14ac:dyDescent="0.35">
      <c r="B376" s="16" t="s">
        <v>306</v>
      </c>
    </row>
    <row r="377" spans="1:3" x14ac:dyDescent="0.35">
      <c r="B377" s="16" t="s">
        <v>307</v>
      </c>
    </row>
    <row r="380" spans="1:3" x14ac:dyDescent="0.35">
      <c r="A380" s="2" t="s">
        <v>291</v>
      </c>
    </row>
    <row r="385" spans="1:2" x14ac:dyDescent="0.35">
      <c r="B385" s="16" t="s">
        <v>305</v>
      </c>
    </row>
    <row r="397" spans="1:2" s="9" customFormat="1" x14ac:dyDescent="0.35">
      <c r="A397" s="7"/>
      <c r="B397" s="8" t="s">
        <v>304</v>
      </c>
    </row>
    <row r="398" spans="1:2" x14ac:dyDescent="0.35">
      <c r="B398" s="20"/>
    </row>
    <row r="399" spans="1:2" x14ac:dyDescent="0.35">
      <c r="B399" s="16" t="s">
        <v>308</v>
      </c>
    </row>
    <row r="400" spans="1:2" x14ac:dyDescent="0.35">
      <c r="B400" s="16"/>
    </row>
    <row r="401" spans="1:2" x14ac:dyDescent="0.35">
      <c r="B401" s="16" t="s">
        <v>309</v>
      </c>
    </row>
    <row r="402" spans="1:2" x14ac:dyDescent="0.35">
      <c r="B402" s="16" t="s">
        <v>310</v>
      </c>
    </row>
    <row r="403" spans="1:2" x14ac:dyDescent="0.35">
      <c r="B403" s="16" t="s">
        <v>311</v>
      </c>
    </row>
    <row r="404" spans="1:2" x14ac:dyDescent="0.35">
      <c r="B404" s="16" t="s">
        <v>312</v>
      </c>
    </row>
    <row r="407" spans="1:2" x14ac:dyDescent="0.35">
      <c r="B407" s="16" t="s">
        <v>313</v>
      </c>
    </row>
    <row r="408" spans="1:2" x14ac:dyDescent="0.35">
      <c r="B408" s="16" t="s">
        <v>314</v>
      </c>
    </row>
    <row r="409" spans="1:2" x14ac:dyDescent="0.35">
      <c r="B409" s="16"/>
    </row>
    <row r="410" spans="1:2" x14ac:dyDescent="0.35">
      <c r="B410" s="16"/>
    </row>
    <row r="411" spans="1:2" x14ac:dyDescent="0.35">
      <c r="B411" s="16" t="s">
        <v>315</v>
      </c>
    </row>
    <row r="413" spans="1:2" x14ac:dyDescent="0.35">
      <c r="A413" s="2" t="s">
        <v>291</v>
      </c>
    </row>
    <row r="419" spans="1:3" x14ac:dyDescent="0.35">
      <c r="B419" s="16" t="s">
        <v>316</v>
      </c>
    </row>
    <row r="420" spans="1:3" x14ac:dyDescent="0.35">
      <c r="B420" s="16" t="s">
        <v>317</v>
      </c>
    </row>
    <row r="422" spans="1:3" s="6" customFormat="1" ht="15" customHeight="1" x14ac:dyDescent="0.35">
      <c r="A422" s="4"/>
      <c r="B422" s="5"/>
    </row>
    <row r="423" spans="1:3" x14ac:dyDescent="0.35">
      <c r="A423" s="88" t="s">
        <v>3</v>
      </c>
      <c r="B423" s="89"/>
      <c r="C423" s="89"/>
    </row>
    <row r="424" spans="1:3" ht="24.75" customHeight="1" x14ac:dyDescent="0.55000000000000004">
      <c r="A424" s="90" t="s">
        <v>318</v>
      </c>
      <c r="B424" s="91"/>
      <c r="C424" s="91"/>
    </row>
    <row r="426" spans="1:3" x14ac:dyDescent="0.35">
      <c r="B426" s="16" t="s">
        <v>319</v>
      </c>
    </row>
    <row r="427" spans="1:3" x14ac:dyDescent="0.35">
      <c r="B427" s="16"/>
    </row>
    <row r="428" spans="1:3" x14ac:dyDescent="0.35">
      <c r="B428" s="16" t="s">
        <v>323</v>
      </c>
    </row>
    <row r="432" spans="1:3" x14ac:dyDescent="0.35">
      <c r="A432" s="2" t="s">
        <v>320</v>
      </c>
    </row>
    <row r="437" spans="1:2" x14ac:dyDescent="0.35">
      <c r="A437" s="2" t="s">
        <v>321</v>
      </c>
    </row>
    <row r="441" spans="1:2" x14ac:dyDescent="0.35">
      <c r="B441" s="16" t="s">
        <v>322</v>
      </c>
    </row>
    <row r="443" spans="1:2" x14ac:dyDescent="0.35">
      <c r="A443" s="2" t="s">
        <v>320</v>
      </c>
    </row>
    <row r="447" spans="1:2" x14ac:dyDescent="0.35">
      <c r="B447" s="16" t="s">
        <v>326</v>
      </c>
    </row>
    <row r="448" spans="1:2" x14ac:dyDescent="0.35">
      <c r="A448" s="2" t="s">
        <v>324</v>
      </c>
      <c r="B448" s="16" t="s">
        <v>325</v>
      </c>
    </row>
    <row r="450" spans="2:2" x14ac:dyDescent="0.35">
      <c r="B450" s="16" t="s">
        <v>327</v>
      </c>
    </row>
    <row r="471" spans="1:2" x14ac:dyDescent="0.35">
      <c r="A471" s="2" t="s">
        <v>321</v>
      </c>
      <c r="B471" s="16" t="s">
        <v>328</v>
      </c>
    </row>
    <row r="472" spans="1:2" x14ac:dyDescent="0.35">
      <c r="B472" s="16"/>
    </row>
    <row r="473" spans="1:2" x14ac:dyDescent="0.35">
      <c r="A473" s="2" t="s">
        <v>324</v>
      </c>
      <c r="B473" s="16" t="s">
        <v>329</v>
      </c>
    </row>
    <row r="493" spans="1:2" s="6" customFormat="1" ht="15" customHeight="1" x14ac:dyDescent="0.35">
      <c r="A493" s="4"/>
      <c r="B493" s="5"/>
    </row>
  </sheetData>
  <mergeCells count="20">
    <mergeCell ref="A424:C424"/>
    <mergeCell ref="A423:C423"/>
    <mergeCell ref="A331:C331"/>
    <mergeCell ref="A369:C369"/>
    <mergeCell ref="A370:C370"/>
    <mergeCell ref="A2:C2"/>
    <mergeCell ref="A5:C5"/>
    <mergeCell ref="A6:C6"/>
    <mergeCell ref="A7:C7"/>
    <mergeCell ref="A8:C8"/>
    <mergeCell ref="A4:C4"/>
    <mergeCell ref="A3:C3"/>
    <mergeCell ref="A330:C330"/>
    <mergeCell ref="A254:C254"/>
    <mergeCell ref="A255:C255"/>
    <mergeCell ref="A9:C9"/>
    <mergeCell ref="A138:C138"/>
    <mergeCell ref="A137:C137"/>
    <mergeCell ref="A12:C12"/>
    <mergeCell ref="A13:C13"/>
  </mergeCells>
  <hyperlinks>
    <hyperlink ref="A5:C5" location="Mise_en_forme_de_cellules" display="Mise en forme de cellules" xr:uid="{00000000-0004-0000-0000-000000000000}"/>
    <hyperlink ref="A137" location="Menu" display="Menu" xr:uid="{00000000-0004-0000-0000-000001000000}"/>
    <hyperlink ref="A141" location="Aligner_le_texte_d_une_cellule_verticalement_ou_horizontalement" display="Aligner le texte d'une cellule" xr:uid="{00000000-0004-0000-0000-000002000000}"/>
    <hyperlink ref="A142" location="Ajouter_une_bordure_à_une_cellule" display="Ajouter une bordure à une cellule" xr:uid="{00000000-0004-0000-0000-000003000000}"/>
    <hyperlink ref="A143" location="Modifier_la_couleur_d_une_cellule" display="Modifier la couleur d'une cellule" xr:uid="{00000000-0004-0000-0000-000004000000}"/>
    <hyperlink ref="A140" location="Copier_le_format_d_une_cellule__une_ligne__ou_une_colonne" display="Copier_le_format_d'une_cellule, une_ligne, ou_une_colonne" xr:uid="{00000000-0004-0000-0000-000005000000}"/>
    <hyperlink ref="A144" location="Renvoyer_à_la_ligne_automatiquement" display="Ajuster la hauteur d'une ligne au texte" xr:uid="{00000000-0004-0000-0000-000006000000}"/>
    <hyperlink ref="A145" location="Direction_du_texte" display="Changer la direction_du_texte" xr:uid="{00000000-0004-0000-0000-000007000000}"/>
    <hyperlink ref="A146" location="Format_de_la_cellule" display="Format_de_la_cellule" xr:uid="{00000000-0004-0000-0000-000008000000}"/>
    <hyperlink ref="A147" location="Fusionner_des_cellules" display="Fusionner_des_cellules" xr:uid="{00000000-0004-0000-0000-000009000000}"/>
    <hyperlink ref="A17" location="Insérer_et_supprimer_des_lignes_ou_colonnes" display="Insérer_et_supprimer_des_lignes_ou_colonnes" xr:uid="{00000000-0004-0000-0000-00000A000000}"/>
    <hyperlink ref="A18" location="Masquer_et_afficher_des_lignes_ou_colonnes" display="Masquer_et_afficher_des_lignes_ou_colonnes" xr:uid="{00000000-0004-0000-0000-00000B000000}"/>
    <hyperlink ref="A148" location="Styles_de_cellules_et_de_feuilles" display="Styles_de_cellules_et_de_feuilles" xr:uid="{00000000-0004-0000-0000-00000C000000}"/>
    <hyperlink ref="A12" location="Menu" display="Menu" xr:uid="{00000000-0004-0000-0000-00000D000000}"/>
    <hyperlink ref="A4:C4" location="Navigation_et_sélection" display="Navigation et sélection" xr:uid="{00000000-0004-0000-0000-00000E000000}"/>
    <hyperlink ref="A15" location="Navigation" display="Navigation" xr:uid="{00000000-0004-0000-0000-00000F000000}"/>
    <hyperlink ref="A14" location="Sélection" display="Sélection" xr:uid="{00000000-0004-0000-0000-000010000000}"/>
    <hyperlink ref="A16" location="Figer_les_volets" display="Figer_les_volets" xr:uid="{00000000-0004-0000-0000-000011000000}"/>
    <hyperlink ref="A254" location="Menu" display="Menu" xr:uid="{00000000-0004-0000-0000-000012000000}"/>
    <hyperlink ref="A6:C6" location="Mise_en_forme_conditionnelle" display="Mise en forme conditionnelle" xr:uid="{00000000-0004-0000-0000-000013000000}"/>
    <hyperlink ref="A330" location="Menu" display="Menu" xr:uid="{00000000-0004-0000-0000-000014000000}"/>
    <hyperlink ref="A7:C7" location="Tri_de_données" display="Tri de données" xr:uid="{00000000-0004-0000-0000-000015000000}"/>
    <hyperlink ref="A369" location="Menu" display="Menu" xr:uid="{00000000-0004-0000-0000-000016000000}"/>
    <hyperlink ref="A8:C8" location="Filtrage_de_données" display="Filtrage de données" xr:uid="{00000000-0004-0000-0000-000017000000}"/>
    <hyperlink ref="A371" location="Filtre_régulier" display="Filtre_régulier" xr:uid="{00000000-0004-0000-0000-000018000000}"/>
    <hyperlink ref="A372" location="Filtre_avancé" display="Filtre_avancé" xr:uid="{00000000-0004-0000-0000-000019000000}"/>
    <hyperlink ref="A423" location="Menu" display="Menu" xr:uid="{00000000-0004-0000-0000-00001A000000}"/>
    <hyperlink ref="A9:C9" location="Imprimer" display="Imprimer" xr:uid="{00000000-0004-0000-0000-00001B000000}"/>
    <hyperlink ref="A19" location="Open_Workook" display="Open workook in multiple windows" xr:uid="{993FDCF6-BAA4-4E1C-952C-45E82F855A6E}"/>
  </hyperlinks>
  <pageMargins left="0.7" right="0.7" top="0.75" bottom="0.75" header="0.3" footer="0.3"/>
  <pageSetup scale="80" fitToWidth="0" fitToHeight="0" orientation="portrait" r:id="rId1"/>
  <headerFooter>
    <oddHeader>Page &amp;P of &amp;N</oddHead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331444"/>
  </sheetPr>
  <dimension ref="A1:D171"/>
  <sheetViews>
    <sheetView workbookViewId="0">
      <selection activeCell="A3" sqref="A3"/>
    </sheetView>
  </sheetViews>
  <sheetFormatPr defaultRowHeight="15.5" x14ac:dyDescent="0.35"/>
  <cols>
    <col min="1" max="1" width="37" style="47" customWidth="1"/>
    <col min="2" max="2" width="13.08984375" style="52" customWidth="1"/>
    <col min="3" max="3" width="156.54296875" style="68" customWidth="1"/>
  </cols>
  <sheetData>
    <row r="1" spans="1:4" s="46" customFormat="1" x14ac:dyDescent="0.35">
      <c r="A1" s="43"/>
      <c r="B1" s="44"/>
      <c r="C1" s="45"/>
    </row>
    <row r="2" spans="1:4" ht="31" x14ac:dyDescent="0.7">
      <c r="A2" s="93" t="s">
        <v>331</v>
      </c>
      <c r="B2" s="93"/>
      <c r="C2" s="96"/>
      <c r="D2" s="96"/>
    </row>
    <row r="3" spans="1:4" x14ac:dyDescent="0.35">
      <c r="B3" s="48"/>
      <c r="C3" s="49" t="s">
        <v>332</v>
      </c>
    </row>
    <row r="4" spans="1:4" x14ac:dyDescent="0.35">
      <c r="B4" s="50"/>
      <c r="C4" s="51" t="s">
        <v>333</v>
      </c>
    </row>
    <row r="5" spans="1:4" x14ac:dyDescent="0.35">
      <c r="B5" s="50"/>
      <c r="C5" s="51" t="s">
        <v>334</v>
      </c>
    </row>
    <row r="6" spans="1:4" x14ac:dyDescent="0.35">
      <c r="B6" s="50"/>
      <c r="C6" s="51" t="s">
        <v>335</v>
      </c>
    </row>
    <row r="7" spans="1:4" x14ac:dyDescent="0.35">
      <c r="B7" s="50"/>
      <c r="C7" s="51" t="s">
        <v>336</v>
      </c>
    </row>
    <row r="8" spans="1:4" x14ac:dyDescent="0.35">
      <c r="B8" s="50"/>
      <c r="C8" s="51" t="s">
        <v>337</v>
      </c>
    </row>
    <row r="9" spans="1:4" x14ac:dyDescent="0.35">
      <c r="B9" s="50"/>
      <c r="C9" s="51" t="s">
        <v>338</v>
      </c>
    </row>
    <row r="10" spans="1:4" x14ac:dyDescent="0.35">
      <c r="B10" s="50"/>
      <c r="C10" s="51" t="s">
        <v>339</v>
      </c>
    </row>
    <row r="11" spans="1:4" x14ac:dyDescent="0.35">
      <c r="C11" s="53"/>
    </row>
    <row r="12" spans="1:4" s="9" customFormat="1" ht="23.5" x14ac:dyDescent="0.55000000000000004">
      <c r="A12" s="54"/>
      <c r="B12" s="55"/>
      <c r="C12" s="56" t="s">
        <v>340</v>
      </c>
    </row>
    <row r="13" spans="1:4" x14ac:dyDescent="0.35">
      <c r="C13" s="57"/>
    </row>
    <row r="14" spans="1:4" x14ac:dyDescent="0.35">
      <c r="A14" s="58" t="s">
        <v>341</v>
      </c>
      <c r="B14" s="59" t="s">
        <v>342</v>
      </c>
      <c r="C14" s="60" t="s">
        <v>343</v>
      </c>
    </row>
    <row r="15" spans="1:4" x14ac:dyDescent="0.35">
      <c r="A15" s="61" t="s">
        <v>344</v>
      </c>
      <c r="B15" s="62">
        <f>2+3</f>
        <v>5</v>
      </c>
      <c r="C15" s="60" t="s">
        <v>345</v>
      </c>
    </row>
    <row r="16" spans="1:4" x14ac:dyDescent="0.35">
      <c r="C16" s="60"/>
    </row>
    <row r="17" spans="1:3" x14ac:dyDescent="0.35">
      <c r="C17" s="60" t="s">
        <v>346</v>
      </c>
    </row>
    <row r="18" spans="1:3" x14ac:dyDescent="0.35">
      <c r="C18" s="60" t="s">
        <v>347</v>
      </c>
    </row>
    <row r="19" spans="1:3" x14ac:dyDescent="0.35">
      <c r="A19" s="63" t="s">
        <v>348</v>
      </c>
      <c r="B19" s="52">
        <f>SUM(2,2,1)</f>
        <v>5</v>
      </c>
      <c r="C19" s="60" t="s">
        <v>349</v>
      </c>
    </row>
    <row r="20" spans="1:3" x14ac:dyDescent="0.35">
      <c r="A20" s="63"/>
      <c r="C20" s="60" t="s">
        <v>350</v>
      </c>
    </row>
    <row r="21" spans="1:3" x14ac:dyDescent="0.35">
      <c r="A21" s="61"/>
      <c r="C21" s="60" t="s">
        <v>351</v>
      </c>
    </row>
    <row r="22" spans="1:3" ht="23.5" x14ac:dyDescent="0.55000000000000004">
      <c r="C22" s="64"/>
    </row>
    <row r="23" spans="1:3" s="9" customFormat="1" x14ac:dyDescent="0.35">
      <c r="A23" s="54"/>
      <c r="B23" s="55"/>
      <c r="C23" s="65" t="s">
        <v>352</v>
      </c>
    </row>
    <row r="24" spans="1:3" ht="23.5" x14ac:dyDescent="0.55000000000000004">
      <c r="B24" s="66"/>
      <c r="C24" s="64" t="s">
        <v>353</v>
      </c>
    </row>
    <row r="25" spans="1:3" x14ac:dyDescent="0.35">
      <c r="B25" s="66">
        <v>1</v>
      </c>
      <c r="C25" s="53"/>
    </row>
    <row r="26" spans="1:3" x14ac:dyDescent="0.35">
      <c r="B26" s="66">
        <v>2</v>
      </c>
      <c r="C26" s="60" t="s">
        <v>354</v>
      </c>
    </row>
    <row r="27" spans="1:3" x14ac:dyDescent="0.35">
      <c r="B27" s="66">
        <v>3</v>
      </c>
      <c r="C27" s="60" t="s">
        <v>355</v>
      </c>
    </row>
    <row r="28" spans="1:3" x14ac:dyDescent="0.35">
      <c r="A28" s="58"/>
      <c r="C28" s="60" t="s">
        <v>356</v>
      </c>
    </row>
    <row r="29" spans="1:3" x14ac:dyDescent="0.35">
      <c r="A29" s="58" t="s">
        <v>341</v>
      </c>
      <c r="B29" s="59" t="s">
        <v>342</v>
      </c>
      <c r="C29" s="67"/>
    </row>
    <row r="30" spans="1:3" x14ac:dyDescent="0.35">
      <c r="A30" s="63" t="s">
        <v>357</v>
      </c>
      <c r="B30" s="52">
        <f>SUM(2,3)</f>
        <v>5</v>
      </c>
      <c r="C30" s="67"/>
    </row>
    <row r="31" spans="1:3" x14ac:dyDescent="0.35">
      <c r="A31" s="63" t="s">
        <v>358</v>
      </c>
      <c r="B31" s="52">
        <f>SUM(2,3,1)</f>
        <v>6</v>
      </c>
      <c r="C31" s="67" t="s">
        <v>359</v>
      </c>
    </row>
    <row r="32" spans="1:3" x14ac:dyDescent="0.35">
      <c r="A32" s="63" t="s">
        <v>360</v>
      </c>
      <c r="B32" s="52" t="e">
        <f>SUM(2,3,"cat")</f>
        <v>#VALUE!</v>
      </c>
      <c r="C32" s="67" t="s">
        <v>361</v>
      </c>
    </row>
    <row r="33" spans="1:3" ht="31" x14ac:dyDescent="0.35">
      <c r="A33" s="63" t="s">
        <v>432</v>
      </c>
      <c r="B33" s="52">
        <f>SUM(2,B25)</f>
        <v>3</v>
      </c>
      <c r="C33" s="67" t="s">
        <v>433</v>
      </c>
    </row>
    <row r="34" spans="1:3" ht="39.75" customHeight="1" x14ac:dyDescent="0.35">
      <c r="A34" s="63" t="s">
        <v>434</v>
      </c>
      <c r="B34" s="52">
        <f>SUM(2,B25:B27)</f>
        <v>8</v>
      </c>
      <c r="C34" s="67" t="s">
        <v>435</v>
      </c>
    </row>
    <row r="35" spans="1:3" x14ac:dyDescent="0.35">
      <c r="C35" s="67" t="s">
        <v>362</v>
      </c>
    </row>
    <row r="36" spans="1:3" x14ac:dyDescent="0.35">
      <c r="C36" s="67"/>
    </row>
    <row r="37" spans="1:3" x14ac:dyDescent="0.35">
      <c r="A37" s="58" t="s">
        <v>341</v>
      </c>
      <c r="B37" s="59" t="s">
        <v>342</v>
      </c>
      <c r="C37" s="67"/>
    </row>
    <row r="38" spans="1:3" ht="46.5" x14ac:dyDescent="0.35">
      <c r="A38" s="61" t="s">
        <v>363</v>
      </c>
      <c r="B38" s="52" t="str">
        <f>LEFT("Excel is fun")</f>
        <v>E</v>
      </c>
      <c r="C38" s="67" t="s">
        <v>364</v>
      </c>
    </row>
    <row r="39" spans="1:3" x14ac:dyDescent="0.35">
      <c r="A39" s="61" t="s">
        <v>365</v>
      </c>
      <c r="B39" s="52" t="str">
        <f>LEFT("Excel is fun",5)</f>
        <v>Excel</v>
      </c>
      <c r="C39" s="68" t="s">
        <v>366</v>
      </c>
    </row>
    <row r="40" spans="1:3" x14ac:dyDescent="0.35">
      <c r="A40" s="61" t="s">
        <v>367</v>
      </c>
      <c r="B40" s="52" t="str">
        <f>LEFT("Excel is fun",2+3)</f>
        <v>Excel</v>
      </c>
      <c r="C40" s="68" t="s">
        <v>368</v>
      </c>
    </row>
    <row r="41" spans="1:3" ht="46.5" x14ac:dyDescent="0.35">
      <c r="A41" s="61" t="s">
        <v>369</v>
      </c>
      <c r="B41" s="52" t="str">
        <f>LEFT("Excel is fun",SUM(2,3))</f>
        <v>Excel</v>
      </c>
      <c r="C41" s="68" t="s">
        <v>370</v>
      </c>
    </row>
    <row r="42" spans="1:3" ht="46.5" x14ac:dyDescent="0.35">
      <c r="A42" s="61" t="s">
        <v>436</v>
      </c>
      <c r="B42" s="52" t="str">
        <f>LEFT("Wow"&amp;A37,SUM(B25:B27)+1)</f>
        <v>WowForm</v>
      </c>
      <c r="C42" s="68" t="s">
        <v>371</v>
      </c>
    </row>
    <row r="44" spans="1:3" ht="23.5" x14ac:dyDescent="0.55000000000000004">
      <c r="C44" s="64"/>
    </row>
    <row r="45" spans="1:3" s="9" customFormat="1" x14ac:dyDescent="0.35">
      <c r="A45" s="54"/>
      <c r="B45" s="55"/>
      <c r="C45" s="65" t="s">
        <v>352</v>
      </c>
    </row>
    <row r="46" spans="1:3" ht="23.5" x14ac:dyDescent="0.55000000000000004">
      <c r="B46" s="66"/>
      <c r="C46" s="64" t="s">
        <v>372</v>
      </c>
    </row>
    <row r="47" spans="1:3" x14ac:dyDescent="0.35">
      <c r="C47" s="69"/>
    </row>
    <row r="48" spans="1:3" ht="46.5" x14ac:dyDescent="0.35">
      <c r="B48" s="47" t="s">
        <v>373</v>
      </c>
      <c r="C48" s="70" t="s">
        <v>374</v>
      </c>
    </row>
    <row r="49" spans="1:3" s="71" customFormat="1" ht="20.25" customHeight="1" x14ac:dyDescent="0.35">
      <c r="A49" s="30"/>
      <c r="B49" s="30"/>
      <c r="C49" s="70" t="s">
        <v>375</v>
      </c>
    </row>
    <row r="50" spans="1:3" x14ac:dyDescent="0.35">
      <c r="B50" s="1"/>
    </row>
    <row r="51" spans="1:3" x14ac:dyDescent="0.35">
      <c r="B51" s="1"/>
    </row>
    <row r="52" spans="1:3" x14ac:dyDescent="0.35">
      <c r="B52" s="1"/>
    </row>
    <row r="53" spans="1:3" x14ac:dyDescent="0.35">
      <c r="B53" s="1"/>
    </row>
    <row r="54" spans="1:3" x14ac:dyDescent="0.35">
      <c r="B54" s="1"/>
    </row>
    <row r="55" spans="1:3" x14ac:dyDescent="0.35">
      <c r="B55" s="1"/>
    </row>
    <row r="56" spans="1:3" ht="31" x14ac:dyDescent="0.35">
      <c r="A56" s="97" t="s">
        <v>376</v>
      </c>
      <c r="B56" s="98"/>
      <c r="C56" s="68" t="s">
        <v>377</v>
      </c>
    </row>
    <row r="57" spans="1:3" ht="31" x14ac:dyDescent="0.35">
      <c r="A57" s="97" t="s">
        <v>378</v>
      </c>
      <c r="B57" s="98"/>
      <c r="C57" s="68" t="s">
        <v>379</v>
      </c>
    </row>
    <row r="69" spans="1:3" ht="23.5" x14ac:dyDescent="0.55000000000000004">
      <c r="C69" s="64"/>
    </row>
    <row r="70" spans="1:3" s="9" customFormat="1" x14ac:dyDescent="0.35">
      <c r="A70" s="54"/>
      <c r="B70" s="55"/>
      <c r="C70" s="65" t="s">
        <v>352</v>
      </c>
    </row>
    <row r="71" spans="1:3" ht="23.5" x14ac:dyDescent="0.55000000000000004">
      <c r="B71" s="66"/>
      <c r="C71" s="64" t="s">
        <v>380</v>
      </c>
    </row>
    <row r="72" spans="1:3" x14ac:dyDescent="0.35">
      <c r="B72" s="47"/>
      <c r="C72" s="72"/>
    </row>
    <row r="73" spans="1:3" x14ac:dyDescent="0.35">
      <c r="B73" s="47" t="s">
        <v>381</v>
      </c>
      <c r="C73" s="68" t="s">
        <v>382</v>
      </c>
    </row>
    <row r="74" spans="1:3" x14ac:dyDescent="0.35">
      <c r="B74" s="47"/>
    </row>
    <row r="75" spans="1:3" x14ac:dyDescent="0.35">
      <c r="B75" s="47"/>
    </row>
    <row r="76" spans="1:3" x14ac:dyDescent="0.35">
      <c r="B76" s="47"/>
    </row>
    <row r="77" spans="1:3" x14ac:dyDescent="0.35">
      <c r="B77" s="47"/>
    </row>
    <row r="78" spans="1:3" x14ac:dyDescent="0.35">
      <c r="B78" s="47"/>
    </row>
    <row r="79" spans="1:3" x14ac:dyDescent="0.35">
      <c r="B79" s="47"/>
    </row>
    <row r="80" spans="1:3" x14ac:dyDescent="0.35">
      <c r="B80" s="47"/>
    </row>
    <row r="81" spans="1:3" ht="31" x14ac:dyDescent="0.35">
      <c r="B81" s="47" t="s">
        <v>383</v>
      </c>
      <c r="C81" s="68" t="s">
        <v>384</v>
      </c>
    </row>
    <row r="88" spans="1:3" ht="31" x14ac:dyDescent="0.35">
      <c r="B88" s="47" t="s">
        <v>383</v>
      </c>
      <c r="C88" s="68" t="s">
        <v>385</v>
      </c>
    </row>
    <row r="92" spans="1:3" x14ac:dyDescent="0.35">
      <c r="A92" s="73"/>
    </row>
    <row r="93" spans="1:3" ht="31" x14ac:dyDescent="0.35">
      <c r="B93" s="47" t="s">
        <v>386</v>
      </c>
      <c r="C93" s="68" t="s">
        <v>387</v>
      </c>
    </row>
    <row r="94" spans="1:3" x14ac:dyDescent="0.35">
      <c r="B94" s="52" t="s">
        <v>388</v>
      </c>
    </row>
    <row r="95" spans="1:3" x14ac:dyDescent="0.35">
      <c r="B95" s="47" t="s">
        <v>389</v>
      </c>
    </row>
    <row r="103" spans="1:3" ht="23.5" x14ac:dyDescent="0.55000000000000004">
      <c r="C103" s="64"/>
    </row>
    <row r="104" spans="1:3" s="9" customFormat="1" x14ac:dyDescent="0.35">
      <c r="A104" s="54"/>
      <c r="B104" s="55"/>
      <c r="C104" s="65" t="s">
        <v>352</v>
      </c>
    </row>
    <row r="105" spans="1:3" ht="23.5" x14ac:dyDescent="0.55000000000000004">
      <c r="B105" s="66"/>
      <c r="C105" s="64" t="s">
        <v>390</v>
      </c>
    </row>
    <row r="106" spans="1:3" x14ac:dyDescent="0.35">
      <c r="B106" s="47"/>
      <c r="C106" s="72"/>
    </row>
    <row r="107" spans="1:3" ht="31" x14ac:dyDescent="0.35">
      <c r="B107" s="58" t="s">
        <v>391</v>
      </c>
      <c r="C107" s="68" t="s">
        <v>392</v>
      </c>
    </row>
    <row r="108" spans="1:3" x14ac:dyDescent="0.35">
      <c r="A108" s="47">
        <v>1</v>
      </c>
      <c r="B108" s="74" t="s">
        <v>393</v>
      </c>
      <c r="C108" s="53" t="s">
        <v>437</v>
      </c>
    </row>
    <row r="109" spans="1:3" x14ac:dyDescent="0.35">
      <c r="A109" s="47">
        <v>2</v>
      </c>
      <c r="B109" s="74" t="s">
        <v>439</v>
      </c>
      <c r="C109" s="68" t="s">
        <v>438</v>
      </c>
    </row>
    <row r="110" spans="1:3" x14ac:dyDescent="0.35">
      <c r="A110" s="47">
        <v>3</v>
      </c>
      <c r="B110" s="74" t="s">
        <v>440</v>
      </c>
      <c r="C110" s="72"/>
    </row>
    <row r="111" spans="1:3" x14ac:dyDescent="0.35">
      <c r="B111" s="61"/>
      <c r="C111" s="72"/>
    </row>
    <row r="112" spans="1:3" x14ac:dyDescent="0.35">
      <c r="B112" s="47" t="s">
        <v>394</v>
      </c>
      <c r="C112" s="68" t="s">
        <v>395</v>
      </c>
    </row>
    <row r="113" spans="2:3" x14ac:dyDescent="0.35">
      <c r="B113" s="47" t="s">
        <v>396</v>
      </c>
      <c r="C113" s="68" t="s">
        <v>397</v>
      </c>
    </row>
    <row r="114" spans="2:3" x14ac:dyDescent="0.35">
      <c r="B114" s="47"/>
    </row>
    <row r="119" spans="2:3" x14ac:dyDescent="0.35">
      <c r="B119" s="47" t="s">
        <v>398</v>
      </c>
      <c r="C119" s="68" t="s">
        <v>399</v>
      </c>
    </row>
    <row r="120" spans="2:3" x14ac:dyDescent="0.35">
      <c r="B120" s="47" t="s">
        <v>400</v>
      </c>
      <c r="C120" s="68" t="s">
        <v>401</v>
      </c>
    </row>
    <row r="121" spans="2:3" x14ac:dyDescent="0.35">
      <c r="B121" s="47"/>
    </row>
    <row r="123" spans="2:3" ht="31" x14ac:dyDescent="0.35">
      <c r="B123" s="58" t="s">
        <v>402</v>
      </c>
      <c r="C123" s="68" t="s">
        <v>403</v>
      </c>
    </row>
    <row r="135" spans="1:3" ht="23.5" x14ac:dyDescent="0.55000000000000004">
      <c r="C135" s="64"/>
    </row>
    <row r="136" spans="1:3" s="9" customFormat="1" x14ac:dyDescent="0.35">
      <c r="A136" s="54"/>
      <c r="B136" s="55"/>
      <c r="C136" s="65" t="s">
        <v>352</v>
      </c>
    </row>
    <row r="137" spans="1:3" ht="23.5" x14ac:dyDescent="0.55000000000000004">
      <c r="B137" s="66"/>
      <c r="C137" s="64" t="s">
        <v>404</v>
      </c>
    </row>
    <row r="138" spans="1:3" x14ac:dyDescent="0.35">
      <c r="C138" s="72"/>
    </row>
    <row r="139" spans="1:3" ht="46.5" x14ac:dyDescent="0.35">
      <c r="B139" s="75" t="s">
        <v>405</v>
      </c>
      <c r="C139" s="53" t="s">
        <v>406</v>
      </c>
    </row>
    <row r="140" spans="1:3" ht="31" x14ac:dyDescent="0.35">
      <c r="B140" s="76">
        <v>1</v>
      </c>
      <c r="C140" s="69" t="s">
        <v>407</v>
      </c>
    </row>
    <row r="141" spans="1:3" ht="20.25" customHeight="1" x14ac:dyDescent="0.35">
      <c r="B141" s="77">
        <v>2</v>
      </c>
      <c r="C141" s="68" t="s">
        <v>441</v>
      </c>
    </row>
    <row r="142" spans="1:3" x14ac:dyDescent="0.35">
      <c r="B142" s="78">
        <v>3</v>
      </c>
      <c r="C142" s="72"/>
    </row>
    <row r="143" spans="1:3" ht="31" x14ac:dyDescent="0.35">
      <c r="A143" s="58" t="s">
        <v>408</v>
      </c>
      <c r="B143" s="59" t="s">
        <v>342</v>
      </c>
      <c r="C143" s="68" t="s">
        <v>442</v>
      </c>
    </row>
    <row r="144" spans="1:3" x14ac:dyDescent="0.35">
      <c r="A144" s="61" t="s">
        <v>443</v>
      </c>
      <c r="B144" s="52" t="str">
        <f>LEFT(B139,B140)</f>
        <v>C</v>
      </c>
    </row>
    <row r="145" spans="1:3" x14ac:dyDescent="0.35">
      <c r="A145" s="61" t="s">
        <v>444</v>
      </c>
      <c r="B145" s="52" t="str">
        <f t="shared" ref="B145:B146" si="0">LEFT(B140,B141)</f>
        <v>1</v>
      </c>
      <c r="C145" s="72"/>
    </row>
    <row r="146" spans="1:3" x14ac:dyDescent="0.35">
      <c r="A146" s="61" t="s">
        <v>445</v>
      </c>
      <c r="B146" s="52" t="str">
        <f t="shared" si="0"/>
        <v>2</v>
      </c>
      <c r="C146" s="72"/>
    </row>
    <row r="147" spans="1:3" ht="31" x14ac:dyDescent="0.35">
      <c r="A147" s="58" t="s">
        <v>409</v>
      </c>
      <c r="B147" s="59" t="s">
        <v>342</v>
      </c>
      <c r="C147" s="60" t="s">
        <v>446</v>
      </c>
    </row>
    <row r="148" spans="1:3" x14ac:dyDescent="0.35">
      <c r="A148" s="61" t="s">
        <v>447</v>
      </c>
      <c r="B148" s="52" t="str">
        <f>LEFT($B$139,B140)</f>
        <v>C</v>
      </c>
      <c r="C148" s="72"/>
    </row>
    <row r="149" spans="1:3" x14ac:dyDescent="0.35">
      <c r="A149" s="61" t="s">
        <v>448</v>
      </c>
      <c r="B149" s="52" t="str">
        <f t="shared" ref="B149:B150" si="1">LEFT($B$139,B141)</f>
        <v>Ca</v>
      </c>
      <c r="C149" s="72"/>
    </row>
    <row r="150" spans="1:3" x14ac:dyDescent="0.35">
      <c r="A150" s="61" t="s">
        <v>449</v>
      </c>
      <c r="B150" s="52" t="str">
        <f t="shared" si="1"/>
        <v>Cat</v>
      </c>
      <c r="C150" s="72"/>
    </row>
    <row r="151" spans="1:3" ht="23.5" x14ac:dyDescent="0.55000000000000004">
      <c r="C151" s="64"/>
    </row>
    <row r="152" spans="1:3" s="9" customFormat="1" x14ac:dyDescent="0.35">
      <c r="A152" s="54"/>
      <c r="B152" s="55"/>
      <c r="C152" s="65" t="s">
        <v>352</v>
      </c>
    </row>
    <row r="153" spans="1:3" ht="23.5" x14ac:dyDescent="0.55000000000000004">
      <c r="B153" s="66"/>
      <c r="C153" s="64" t="s">
        <v>410</v>
      </c>
    </row>
    <row r="154" spans="1:3" x14ac:dyDescent="0.35">
      <c r="A154" s="59"/>
    </row>
    <row r="155" spans="1:3" x14ac:dyDescent="0.35">
      <c r="C155" s="68" t="s">
        <v>411</v>
      </c>
    </row>
    <row r="156" spans="1:3" x14ac:dyDescent="0.35">
      <c r="B156" s="47" t="s">
        <v>412</v>
      </c>
    </row>
    <row r="157" spans="1:3" x14ac:dyDescent="0.35">
      <c r="B157" s="52" t="s">
        <v>388</v>
      </c>
    </row>
    <row r="158" spans="1:3" x14ac:dyDescent="0.35">
      <c r="B158" s="47" t="s">
        <v>413</v>
      </c>
    </row>
    <row r="159" spans="1:3" x14ac:dyDescent="0.35">
      <c r="B159" s="52" t="s">
        <v>388</v>
      </c>
    </row>
    <row r="160" spans="1:3" x14ac:dyDescent="0.35">
      <c r="B160" s="52" t="s">
        <v>450</v>
      </c>
    </row>
    <row r="163" spans="1:3" x14ac:dyDescent="0.35">
      <c r="A163" s="58"/>
    </row>
    <row r="164" spans="1:3" x14ac:dyDescent="0.35">
      <c r="A164" s="58"/>
    </row>
    <row r="165" spans="1:3" x14ac:dyDescent="0.35">
      <c r="A165" s="47" t="s">
        <v>414</v>
      </c>
      <c r="C165" s="68" t="s">
        <v>451</v>
      </c>
    </row>
    <row r="167" spans="1:3" x14ac:dyDescent="0.35">
      <c r="A167" s="58" t="s">
        <v>341</v>
      </c>
      <c r="B167" s="59" t="s">
        <v>342</v>
      </c>
    </row>
    <row r="168" spans="1:3" x14ac:dyDescent="0.35">
      <c r="A168" s="61" t="s">
        <v>452</v>
      </c>
      <c r="B168" s="52" t="str">
        <f>LEFT(A165,8)</f>
        <v xml:space="preserve">My name </v>
      </c>
      <c r="C168" s="68" t="s">
        <v>415</v>
      </c>
    </row>
    <row r="169" spans="1:3" x14ac:dyDescent="0.35">
      <c r="A169" s="61" t="s">
        <v>416</v>
      </c>
      <c r="B169" s="52" t="str">
        <f>LEFT(Miow,8)</f>
        <v xml:space="preserve">My name </v>
      </c>
    </row>
    <row r="171" spans="1:3" s="46" customFormat="1" x14ac:dyDescent="0.35">
      <c r="A171" s="43"/>
      <c r="B171" s="44"/>
      <c r="C171" s="45"/>
    </row>
  </sheetData>
  <mergeCells count="3">
    <mergeCell ref="A2:D2"/>
    <mergeCell ref="A56:B56"/>
    <mergeCell ref="A57:B57"/>
  </mergeCells>
  <hyperlinks>
    <hyperlink ref="C4" location="What_is_a_Formula?" display="What is a formula?" xr:uid="{00000000-0004-0000-0100-000000000000}"/>
    <hyperlink ref="C5" location="Anatomy_of_a_Formula" display="Anatomy of a formula" xr:uid="{00000000-0004-0000-0100-000001000000}"/>
    <hyperlink ref="C23" location="TopMenu" display="Back to Top" xr:uid="{00000000-0004-0000-0100-000002000000}"/>
    <hyperlink ref="C45" location="TopMenu" display="Back to Top" xr:uid="{00000000-0004-0000-0100-000003000000}"/>
    <hyperlink ref="C6" location="Working_with_Formulas" display="Working with formulas" xr:uid="{00000000-0004-0000-0100-000004000000}"/>
    <hyperlink ref="C70" location="TopMenu" display="Back to Top" xr:uid="{00000000-0004-0000-0100-000005000000}"/>
    <hyperlink ref="C7" location="Viewing_and_Finding_Formulas" display="Viewing and finding formulas" xr:uid="{00000000-0004-0000-0100-000006000000}"/>
    <hyperlink ref="C104" location="TopMenu" display="Back to Top" xr:uid="{00000000-0004-0000-0100-000007000000}"/>
    <hyperlink ref="C8" location="Copying__Pasting__and_Dragging_Formulas" display="Copying, pasting, and dragging formulas" xr:uid="{00000000-0004-0000-0100-000008000000}"/>
    <hyperlink ref="C136" location="TopMenu" display="Back to Top" xr:uid="{00000000-0004-0000-0100-000009000000}"/>
    <hyperlink ref="C9" location="Relative_and_Absolute_Cell_Addresses_in_Formulas" display="Relative and absolute cell addresses and formulas" xr:uid="{00000000-0004-0000-0100-00000A000000}"/>
    <hyperlink ref="C152" location="TopMenu" display="Back to Top" xr:uid="{00000000-0004-0000-0100-00000B000000}"/>
    <hyperlink ref="C10" location="Names_in_Formulas" display="Names in formulas" xr:uid="{00000000-0004-0000-0100-00000C000000}"/>
  </hyperlinks>
  <printOptions gridLines="1"/>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FF00"/>
    <pageSetUpPr fitToPage="1"/>
  </sheetPr>
  <dimension ref="A1:C35"/>
  <sheetViews>
    <sheetView zoomScaleNormal="100" workbookViewId="0">
      <selection activeCell="B13" sqref="B13"/>
    </sheetView>
  </sheetViews>
  <sheetFormatPr defaultColWidth="11.453125" defaultRowHeight="14.5" x14ac:dyDescent="0.35"/>
  <cols>
    <col min="1" max="1" width="5" style="24" customWidth="1"/>
    <col min="2" max="2" width="134.453125" customWidth="1"/>
    <col min="3" max="3" width="11.453125" customWidth="1"/>
  </cols>
  <sheetData>
    <row r="1" spans="1:3" ht="18.5" x14ac:dyDescent="0.45">
      <c r="B1" s="80" t="s">
        <v>6</v>
      </c>
      <c r="C1" s="15"/>
    </row>
    <row r="2" spans="1:3" ht="15.5" x14ac:dyDescent="0.35">
      <c r="B2" s="22"/>
    </row>
    <row r="3" spans="1:3" ht="15.5" x14ac:dyDescent="0.35">
      <c r="B3" s="22" t="s">
        <v>178</v>
      </c>
    </row>
    <row r="4" spans="1:3" ht="15.5" x14ac:dyDescent="0.35">
      <c r="B4" s="26" t="s">
        <v>424</v>
      </c>
    </row>
    <row r="5" spans="1:3" x14ac:dyDescent="0.35">
      <c r="A5" s="25">
        <v>1</v>
      </c>
      <c r="B5" s="13" t="s">
        <v>179</v>
      </c>
    </row>
    <row r="6" spans="1:3" x14ac:dyDescent="0.35">
      <c r="A6" s="25">
        <v>2</v>
      </c>
      <c r="B6" s="13" t="s">
        <v>180</v>
      </c>
    </row>
    <row r="7" spans="1:3" x14ac:dyDescent="0.35">
      <c r="A7" s="25">
        <v>3</v>
      </c>
      <c r="B7" s="13" t="s">
        <v>181</v>
      </c>
    </row>
    <row r="8" spans="1:3" x14ac:dyDescent="0.35">
      <c r="A8" s="25">
        <v>4</v>
      </c>
      <c r="B8" s="13" t="s">
        <v>182</v>
      </c>
    </row>
    <row r="9" spans="1:3" x14ac:dyDescent="0.35">
      <c r="A9" s="25">
        <v>5</v>
      </c>
      <c r="B9" s="13" t="s">
        <v>183</v>
      </c>
    </row>
    <row r="10" spans="1:3" x14ac:dyDescent="0.35">
      <c r="A10" s="25">
        <v>6</v>
      </c>
      <c r="B10" s="13" t="s">
        <v>184</v>
      </c>
    </row>
    <row r="11" spans="1:3" x14ac:dyDescent="0.35">
      <c r="A11" s="25">
        <v>7</v>
      </c>
      <c r="B11" s="13" t="s">
        <v>185</v>
      </c>
    </row>
    <row r="12" spans="1:3" x14ac:dyDescent="0.35">
      <c r="A12" s="25">
        <v>8</v>
      </c>
      <c r="B12" s="13" t="s">
        <v>186</v>
      </c>
    </row>
    <row r="13" spans="1:3" x14ac:dyDescent="0.35">
      <c r="A13" s="25">
        <v>9</v>
      </c>
      <c r="B13" s="13" t="s">
        <v>187</v>
      </c>
    </row>
    <row r="14" spans="1:3" x14ac:dyDescent="0.35">
      <c r="A14" s="25">
        <v>10</v>
      </c>
      <c r="B14" s="13" t="s">
        <v>201</v>
      </c>
    </row>
    <row r="15" spans="1:3" x14ac:dyDescent="0.35">
      <c r="A15" s="25">
        <v>11</v>
      </c>
      <c r="B15" s="13" t="s">
        <v>202</v>
      </c>
    </row>
    <row r="16" spans="1:3" x14ac:dyDescent="0.35">
      <c r="A16" s="25">
        <v>12</v>
      </c>
      <c r="B16" s="13" t="s">
        <v>203</v>
      </c>
    </row>
    <row r="17" spans="1:2" x14ac:dyDescent="0.35">
      <c r="A17" s="25">
        <v>13</v>
      </c>
      <c r="B17" s="13" t="s">
        <v>204</v>
      </c>
    </row>
    <row r="18" spans="1:2" x14ac:dyDescent="0.35">
      <c r="A18" s="25">
        <v>14</v>
      </c>
      <c r="B18" s="13" t="s">
        <v>205</v>
      </c>
    </row>
    <row r="19" spans="1:2" x14ac:dyDescent="0.35">
      <c r="A19" s="25">
        <v>15</v>
      </c>
      <c r="B19" s="13" t="s">
        <v>206</v>
      </c>
    </row>
    <row r="20" spans="1:2" x14ac:dyDescent="0.35">
      <c r="A20" s="25">
        <v>16</v>
      </c>
      <c r="B20" s="13" t="s">
        <v>214</v>
      </c>
    </row>
    <row r="21" spans="1:2" ht="15.5" x14ac:dyDescent="0.35">
      <c r="A21" s="25"/>
      <c r="B21" s="26" t="s">
        <v>425</v>
      </c>
    </row>
    <row r="22" spans="1:2" x14ac:dyDescent="0.35">
      <c r="A22" s="25">
        <v>17</v>
      </c>
      <c r="B22" s="13" t="s">
        <v>207</v>
      </c>
    </row>
    <row r="23" spans="1:2" x14ac:dyDescent="0.35">
      <c r="A23" s="25">
        <v>18</v>
      </c>
      <c r="B23" s="13" t="s">
        <v>210</v>
      </c>
    </row>
    <row r="24" spans="1:2" x14ac:dyDescent="0.35">
      <c r="A24" s="25">
        <v>19</v>
      </c>
      <c r="B24" s="13" t="s">
        <v>208</v>
      </c>
    </row>
    <row r="25" spans="1:2" x14ac:dyDescent="0.35">
      <c r="A25" s="25">
        <v>20</v>
      </c>
      <c r="B25" s="13" t="s">
        <v>209</v>
      </c>
    </row>
    <row r="26" spans="1:2" x14ac:dyDescent="0.35">
      <c r="A26" s="25">
        <v>21</v>
      </c>
      <c r="B26" s="13" t="s">
        <v>420</v>
      </c>
    </row>
    <row r="27" spans="1:2" x14ac:dyDescent="0.35">
      <c r="A27" s="25">
        <v>22</v>
      </c>
      <c r="B27" s="13" t="s">
        <v>211</v>
      </c>
    </row>
    <row r="28" spans="1:2" x14ac:dyDescent="0.35">
      <c r="A28" s="25">
        <v>23</v>
      </c>
      <c r="B28" s="13" t="s">
        <v>421</v>
      </c>
    </row>
    <row r="29" spans="1:2" x14ac:dyDescent="0.35">
      <c r="A29" s="25">
        <v>24</v>
      </c>
      <c r="B29" s="13" t="s">
        <v>212</v>
      </c>
    </row>
    <row r="30" spans="1:2" ht="15.5" x14ac:dyDescent="0.35">
      <c r="A30" s="81"/>
      <c r="B30" s="26"/>
    </row>
    <row r="31" spans="1:2" x14ac:dyDescent="0.35">
      <c r="A31" s="25">
        <v>25</v>
      </c>
      <c r="B31" s="13" t="s">
        <v>213</v>
      </c>
    </row>
    <row r="32" spans="1:2" ht="15.5" x14ac:dyDescent="0.35">
      <c r="A32" s="81"/>
      <c r="B32" s="26"/>
    </row>
    <row r="35" spans="2:2" x14ac:dyDescent="0.35">
      <c r="B35" s="24"/>
    </row>
  </sheetData>
  <pageMargins left="0.23622047244094499" right="0.23622047244094499" top="0.74803149606299202" bottom="0.74803149606299202" header="0.31496062992126" footer="0.31496062992126"/>
  <pageSetup scale="96" orientation="landscape" r:id="rId1"/>
  <headerFooter>
    <oddFooter>&amp;C&amp;8&amp;K00-044Julie.Marcoux@dal.ca – Dalhousie University Libraries – CC BY-NC 4.0</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3" tint="-0.249977111117893"/>
  </sheetPr>
  <dimension ref="A1:K43"/>
  <sheetViews>
    <sheetView tabSelected="1" zoomScale="112" workbookViewId="0">
      <selection activeCell="J11" sqref="J11"/>
    </sheetView>
  </sheetViews>
  <sheetFormatPr defaultRowHeight="14.5" x14ac:dyDescent="0.35"/>
  <cols>
    <col min="1" max="1" width="9.08984375" customWidth="1"/>
    <col min="5" max="5" width="7.36328125" customWidth="1"/>
    <col min="11" max="11" width="10.453125" bestFit="1" customWidth="1"/>
  </cols>
  <sheetData>
    <row r="1" spans="1:11" x14ac:dyDescent="0.35">
      <c r="A1" t="s">
        <v>171</v>
      </c>
      <c r="B1" t="s">
        <v>0</v>
      </c>
      <c r="C1" t="s">
        <v>1</v>
      </c>
      <c r="D1" t="s">
        <v>2</v>
      </c>
      <c r="E1" t="s">
        <v>188</v>
      </c>
      <c r="F1" t="s">
        <v>189</v>
      </c>
      <c r="G1" t="s">
        <v>170</v>
      </c>
      <c r="H1" t="s">
        <v>190</v>
      </c>
      <c r="I1" t="s">
        <v>191</v>
      </c>
      <c r="J1" t="s">
        <v>192</v>
      </c>
      <c r="K1" t="s">
        <v>193</v>
      </c>
    </row>
    <row r="2" spans="1:11" x14ac:dyDescent="0.35">
      <c r="A2">
        <v>9781440834189</v>
      </c>
      <c r="B2" t="s">
        <v>169</v>
      </c>
      <c r="C2" t="s">
        <v>168</v>
      </c>
      <c r="D2" t="s">
        <v>167</v>
      </c>
      <c r="E2">
        <v>2023</v>
      </c>
      <c r="F2" t="s">
        <v>166</v>
      </c>
      <c r="G2" t="s">
        <v>11</v>
      </c>
      <c r="H2" t="s">
        <v>10</v>
      </c>
      <c r="I2" t="s">
        <v>9</v>
      </c>
      <c r="J2" t="s">
        <v>165</v>
      </c>
      <c r="K2" s="27">
        <v>42298</v>
      </c>
    </row>
    <row r="3" spans="1:11" x14ac:dyDescent="0.35">
      <c r="A3">
        <v>9781623967208</v>
      </c>
      <c r="B3" t="s">
        <v>164</v>
      </c>
      <c r="C3" t="s">
        <v>194</v>
      </c>
      <c r="D3" t="s">
        <v>125</v>
      </c>
      <c r="E3">
        <v>2020</v>
      </c>
      <c r="F3" t="s">
        <v>163</v>
      </c>
      <c r="G3" t="s">
        <v>17</v>
      </c>
      <c r="H3" t="s">
        <v>10</v>
      </c>
      <c r="I3" t="s">
        <v>9</v>
      </c>
      <c r="J3" t="s">
        <v>123</v>
      </c>
      <c r="K3" s="27">
        <v>42270</v>
      </c>
    </row>
    <row r="4" spans="1:11" x14ac:dyDescent="0.35">
      <c r="A4">
        <v>9780134072951</v>
      </c>
      <c r="B4" t="s">
        <v>162</v>
      </c>
      <c r="C4" t="s">
        <v>195</v>
      </c>
      <c r="D4" t="s">
        <v>68</v>
      </c>
      <c r="E4">
        <v>2016</v>
      </c>
      <c r="F4" t="s">
        <v>161</v>
      </c>
      <c r="G4" t="s">
        <v>11</v>
      </c>
      <c r="H4" t="s">
        <v>10</v>
      </c>
      <c r="I4" t="s">
        <v>9</v>
      </c>
      <c r="J4" t="s">
        <v>160</v>
      </c>
      <c r="K4" s="27">
        <v>42291</v>
      </c>
    </row>
    <row r="5" spans="1:11" x14ac:dyDescent="0.35">
      <c r="A5">
        <v>9781118725641</v>
      </c>
      <c r="B5" t="s">
        <v>159</v>
      </c>
      <c r="C5" t="s">
        <v>158</v>
      </c>
      <c r="D5" t="s">
        <v>157</v>
      </c>
      <c r="E5">
        <v>2022</v>
      </c>
      <c r="F5" t="s">
        <v>156</v>
      </c>
      <c r="G5" t="s">
        <v>11</v>
      </c>
      <c r="H5" t="s">
        <v>44</v>
      </c>
      <c r="I5" t="s">
        <v>43</v>
      </c>
      <c r="J5" t="s">
        <v>155</v>
      </c>
      <c r="K5" s="27">
        <v>42277</v>
      </c>
    </row>
    <row r="6" spans="1:11" x14ac:dyDescent="0.35">
      <c r="A6">
        <v>9781482251784</v>
      </c>
      <c r="B6" t="s">
        <v>154</v>
      </c>
      <c r="C6" t="s">
        <v>153</v>
      </c>
      <c r="D6" t="s">
        <v>152</v>
      </c>
      <c r="E6">
        <v>2020</v>
      </c>
      <c r="F6" t="s">
        <v>151</v>
      </c>
      <c r="G6" t="s">
        <v>11</v>
      </c>
      <c r="H6" t="s">
        <v>44</v>
      </c>
      <c r="I6" t="s">
        <v>43</v>
      </c>
      <c r="J6" t="s">
        <v>150</v>
      </c>
      <c r="K6" s="27">
        <v>42277</v>
      </c>
    </row>
    <row r="7" spans="1:11" x14ac:dyDescent="0.35">
      <c r="A7">
        <v>9781138013728</v>
      </c>
      <c r="B7" t="s">
        <v>149</v>
      </c>
      <c r="C7" t="s">
        <v>196</v>
      </c>
      <c r="D7" t="s">
        <v>101</v>
      </c>
      <c r="E7">
        <v>2021</v>
      </c>
      <c r="F7" t="s">
        <v>148</v>
      </c>
      <c r="G7" t="s">
        <v>17</v>
      </c>
      <c r="H7" t="s">
        <v>10</v>
      </c>
      <c r="I7" t="s">
        <v>9</v>
      </c>
      <c r="J7" t="s">
        <v>15</v>
      </c>
      <c r="K7" s="27">
        <v>42333</v>
      </c>
    </row>
    <row r="8" spans="1:11" x14ac:dyDescent="0.35">
      <c r="A8">
        <v>9781430263524</v>
      </c>
      <c r="B8" t="s">
        <v>147</v>
      </c>
      <c r="C8" t="s">
        <v>146</v>
      </c>
      <c r="D8" t="s">
        <v>145</v>
      </c>
      <c r="E8">
        <v>2020</v>
      </c>
      <c r="F8" t="s">
        <v>144</v>
      </c>
      <c r="G8" t="s">
        <v>17</v>
      </c>
      <c r="H8" t="s">
        <v>44</v>
      </c>
      <c r="I8" t="s">
        <v>43</v>
      </c>
      <c r="J8" t="s">
        <v>66</v>
      </c>
      <c r="K8" s="27">
        <v>42263</v>
      </c>
    </row>
    <row r="9" spans="1:11" x14ac:dyDescent="0.35">
      <c r="A9">
        <v>9781606496466</v>
      </c>
      <c r="B9" t="s">
        <v>143</v>
      </c>
      <c r="C9" t="s">
        <v>142</v>
      </c>
      <c r="D9" t="s">
        <v>18</v>
      </c>
      <c r="E9">
        <v>2023</v>
      </c>
      <c r="F9" t="s">
        <v>141</v>
      </c>
      <c r="G9" t="s">
        <v>17</v>
      </c>
      <c r="H9" t="s">
        <v>10</v>
      </c>
      <c r="I9" t="s">
        <v>9</v>
      </c>
      <c r="J9" t="s">
        <v>15</v>
      </c>
      <c r="K9" s="27">
        <v>42277</v>
      </c>
    </row>
    <row r="10" spans="1:11" x14ac:dyDescent="0.35">
      <c r="A10">
        <v>9781138803329</v>
      </c>
      <c r="B10" t="s">
        <v>140</v>
      </c>
      <c r="C10" t="s">
        <v>197</v>
      </c>
      <c r="D10" t="s">
        <v>101</v>
      </c>
      <c r="E10">
        <v>2018</v>
      </c>
      <c r="F10" t="s">
        <v>139</v>
      </c>
      <c r="G10" t="s">
        <v>17</v>
      </c>
      <c r="H10" t="s">
        <v>10</v>
      </c>
      <c r="I10" t="s">
        <v>43</v>
      </c>
      <c r="J10" t="s">
        <v>15</v>
      </c>
      <c r="K10" s="27">
        <v>42284</v>
      </c>
    </row>
    <row r="11" spans="1:11" x14ac:dyDescent="0.35">
      <c r="A11">
        <v>9781634829595</v>
      </c>
      <c r="B11" t="s">
        <v>138</v>
      </c>
      <c r="C11" t="s">
        <v>198</v>
      </c>
      <c r="D11" t="s">
        <v>137</v>
      </c>
      <c r="E11">
        <v>2023</v>
      </c>
      <c r="F11" t="s">
        <v>136</v>
      </c>
      <c r="G11" t="s">
        <v>17</v>
      </c>
      <c r="H11" t="s">
        <v>10</v>
      </c>
      <c r="I11" t="s">
        <v>43</v>
      </c>
      <c r="J11" t="s">
        <v>135</v>
      </c>
      <c r="K11" s="27">
        <v>42277</v>
      </c>
    </row>
    <row r="12" spans="1:11" x14ac:dyDescent="0.35">
      <c r="A12">
        <v>9781118995396</v>
      </c>
      <c r="B12" t="s">
        <v>134</v>
      </c>
      <c r="C12" t="s">
        <v>133</v>
      </c>
      <c r="D12" t="s">
        <v>50</v>
      </c>
      <c r="E12">
        <v>2020</v>
      </c>
      <c r="F12" t="s">
        <v>132</v>
      </c>
      <c r="G12" t="s">
        <v>11</v>
      </c>
      <c r="H12" t="s">
        <v>44</v>
      </c>
      <c r="I12" t="s">
        <v>43</v>
      </c>
      <c r="J12" t="s">
        <v>131</v>
      </c>
      <c r="K12" s="27">
        <v>42263</v>
      </c>
    </row>
    <row r="13" spans="1:11" x14ac:dyDescent="0.35">
      <c r="A13">
        <v>9781137526786</v>
      </c>
      <c r="B13" t="s">
        <v>130</v>
      </c>
      <c r="C13" t="s">
        <v>129</v>
      </c>
      <c r="D13" t="s">
        <v>12</v>
      </c>
      <c r="E13">
        <v>2018</v>
      </c>
      <c r="F13" t="s">
        <v>128</v>
      </c>
      <c r="G13" t="s">
        <v>11</v>
      </c>
      <c r="H13" t="s">
        <v>44</v>
      </c>
      <c r="I13" t="s">
        <v>43</v>
      </c>
      <c r="J13" t="s">
        <v>71</v>
      </c>
      <c r="K13" s="27">
        <v>42319</v>
      </c>
    </row>
    <row r="14" spans="1:11" x14ac:dyDescent="0.35">
      <c r="A14">
        <v>9781681232683</v>
      </c>
      <c r="B14" t="s">
        <v>127</v>
      </c>
      <c r="C14" t="s">
        <v>126</v>
      </c>
      <c r="D14" t="s">
        <v>125</v>
      </c>
      <c r="E14">
        <v>2019</v>
      </c>
      <c r="F14" t="s">
        <v>124</v>
      </c>
      <c r="G14" t="s">
        <v>17</v>
      </c>
      <c r="H14" t="s">
        <v>10</v>
      </c>
      <c r="I14" t="s">
        <v>9</v>
      </c>
      <c r="J14" t="s">
        <v>123</v>
      </c>
      <c r="K14" s="27">
        <v>42326</v>
      </c>
    </row>
    <row r="15" spans="1:11" x14ac:dyDescent="0.35">
      <c r="A15">
        <v>9781433122033</v>
      </c>
      <c r="B15" t="s">
        <v>122</v>
      </c>
      <c r="C15" t="s">
        <v>121</v>
      </c>
      <c r="D15" t="s">
        <v>120</v>
      </c>
      <c r="E15">
        <v>2021</v>
      </c>
      <c r="F15" t="s">
        <v>119</v>
      </c>
      <c r="G15" t="s">
        <v>17</v>
      </c>
      <c r="H15" t="s">
        <v>10</v>
      </c>
      <c r="I15" t="s">
        <v>9</v>
      </c>
      <c r="J15" t="s">
        <v>118</v>
      </c>
      <c r="K15" s="27">
        <v>42263</v>
      </c>
    </row>
    <row r="16" spans="1:11" x14ac:dyDescent="0.35">
      <c r="A16">
        <v>9781631571305</v>
      </c>
      <c r="B16" t="s">
        <v>117</v>
      </c>
      <c r="C16" t="s">
        <v>116</v>
      </c>
      <c r="D16" t="s">
        <v>18</v>
      </c>
      <c r="E16">
        <v>2022</v>
      </c>
      <c r="F16" t="s">
        <v>115</v>
      </c>
      <c r="G16" t="s">
        <v>17</v>
      </c>
      <c r="H16" t="s">
        <v>44</v>
      </c>
      <c r="I16" t="s">
        <v>43</v>
      </c>
      <c r="J16" t="s">
        <v>15</v>
      </c>
      <c r="K16" s="27">
        <v>42284</v>
      </c>
    </row>
    <row r="17" spans="1:11" x14ac:dyDescent="0.35">
      <c r="A17">
        <v>9780415673419</v>
      </c>
      <c r="B17" t="s">
        <v>114</v>
      </c>
      <c r="C17" t="s">
        <v>113</v>
      </c>
      <c r="D17" t="s">
        <v>101</v>
      </c>
      <c r="E17">
        <v>2020</v>
      </c>
      <c r="F17" t="s">
        <v>112</v>
      </c>
      <c r="G17" t="s">
        <v>17</v>
      </c>
      <c r="H17" t="s">
        <v>32</v>
      </c>
      <c r="I17" t="s">
        <v>31</v>
      </c>
      <c r="J17" t="s">
        <v>111</v>
      </c>
      <c r="K17" s="27">
        <v>42312</v>
      </c>
    </row>
    <row r="18" spans="1:11" x14ac:dyDescent="0.35">
      <c r="A18">
        <v>9780134387048</v>
      </c>
      <c r="B18" t="s">
        <v>110</v>
      </c>
      <c r="C18" t="s">
        <v>109</v>
      </c>
      <c r="D18" t="s">
        <v>68</v>
      </c>
      <c r="E18">
        <v>2019</v>
      </c>
      <c r="F18" t="s">
        <v>108</v>
      </c>
      <c r="G18" t="s">
        <v>11</v>
      </c>
      <c r="H18" t="s">
        <v>44</v>
      </c>
      <c r="I18" t="s">
        <v>43</v>
      </c>
      <c r="J18" t="s">
        <v>107</v>
      </c>
      <c r="K18" s="27">
        <v>42305</v>
      </c>
    </row>
    <row r="19" spans="1:11" x14ac:dyDescent="0.35">
      <c r="A19">
        <v>9780749474591</v>
      </c>
      <c r="B19" t="s">
        <v>106</v>
      </c>
      <c r="C19" t="s">
        <v>105</v>
      </c>
      <c r="D19" t="s">
        <v>45</v>
      </c>
      <c r="E19">
        <v>2019</v>
      </c>
      <c r="F19" t="s">
        <v>104</v>
      </c>
      <c r="G19" t="s">
        <v>17</v>
      </c>
      <c r="H19" t="s">
        <v>44</v>
      </c>
      <c r="I19" t="s">
        <v>43</v>
      </c>
      <c r="J19" t="s">
        <v>99</v>
      </c>
      <c r="K19" s="27">
        <v>42298</v>
      </c>
    </row>
    <row r="20" spans="1:11" x14ac:dyDescent="0.35">
      <c r="A20">
        <v>9781138016316</v>
      </c>
      <c r="B20" t="s">
        <v>103</v>
      </c>
      <c r="C20" t="s">
        <v>102</v>
      </c>
      <c r="D20" t="s">
        <v>101</v>
      </c>
      <c r="E20">
        <v>2018</v>
      </c>
      <c r="F20" t="s">
        <v>100</v>
      </c>
      <c r="G20" t="s">
        <v>17</v>
      </c>
      <c r="H20" t="s">
        <v>10</v>
      </c>
      <c r="I20" t="s">
        <v>43</v>
      </c>
      <c r="J20" t="s">
        <v>99</v>
      </c>
      <c r="K20" s="27">
        <v>42326</v>
      </c>
    </row>
    <row r="21" spans="1:11" x14ac:dyDescent="0.35">
      <c r="A21">
        <v>9783319222332</v>
      </c>
      <c r="B21" t="s">
        <v>98</v>
      </c>
      <c r="C21" t="s">
        <v>97</v>
      </c>
      <c r="D21" t="s">
        <v>96</v>
      </c>
      <c r="E21">
        <v>2021</v>
      </c>
      <c r="F21" t="s">
        <v>95</v>
      </c>
      <c r="G21" t="s">
        <v>17</v>
      </c>
      <c r="H21" t="s">
        <v>10</v>
      </c>
      <c r="I21" t="s">
        <v>9</v>
      </c>
      <c r="J21" t="s">
        <v>94</v>
      </c>
      <c r="K21" s="27">
        <v>42291</v>
      </c>
    </row>
    <row r="22" spans="1:11" x14ac:dyDescent="0.35">
      <c r="A22">
        <v>9781785603495</v>
      </c>
      <c r="B22" t="s">
        <v>93</v>
      </c>
      <c r="C22" t="s">
        <v>199</v>
      </c>
      <c r="D22" t="s">
        <v>92</v>
      </c>
      <c r="E22">
        <v>2016</v>
      </c>
      <c r="F22" t="s">
        <v>91</v>
      </c>
      <c r="G22" t="s">
        <v>17</v>
      </c>
      <c r="H22" t="s">
        <v>10</v>
      </c>
      <c r="I22" t="s">
        <v>9</v>
      </c>
      <c r="J22" t="s">
        <v>90</v>
      </c>
      <c r="K22" s="27">
        <v>42263</v>
      </c>
    </row>
    <row r="23" spans="1:11" x14ac:dyDescent="0.35">
      <c r="A23">
        <v>9781631572388</v>
      </c>
      <c r="B23" t="s">
        <v>89</v>
      </c>
      <c r="C23" t="s">
        <v>88</v>
      </c>
      <c r="D23" t="s">
        <v>18</v>
      </c>
      <c r="E23">
        <v>2016</v>
      </c>
      <c r="F23" t="s">
        <v>87</v>
      </c>
      <c r="G23" t="s">
        <v>17</v>
      </c>
      <c r="H23" t="s">
        <v>10</v>
      </c>
      <c r="I23" t="s">
        <v>9</v>
      </c>
      <c r="J23" t="s">
        <v>15</v>
      </c>
      <c r="K23" s="27">
        <v>42277</v>
      </c>
    </row>
    <row r="24" spans="1:11" x14ac:dyDescent="0.35">
      <c r="A24">
        <v>9781631572388</v>
      </c>
      <c r="B24" t="s">
        <v>89</v>
      </c>
      <c r="C24" t="s">
        <v>88</v>
      </c>
      <c r="D24" t="s">
        <v>18</v>
      </c>
      <c r="E24">
        <v>2017</v>
      </c>
      <c r="F24" t="s">
        <v>87</v>
      </c>
      <c r="G24" t="s">
        <v>17</v>
      </c>
      <c r="H24" t="s">
        <v>10</v>
      </c>
      <c r="I24" t="s">
        <v>9</v>
      </c>
      <c r="J24" t="s">
        <v>15</v>
      </c>
      <c r="K24" s="27">
        <v>42277</v>
      </c>
    </row>
    <row r="25" spans="1:11" x14ac:dyDescent="0.35">
      <c r="A25">
        <v>9788763003254</v>
      </c>
      <c r="B25" t="s">
        <v>177</v>
      </c>
      <c r="D25" t="s">
        <v>86</v>
      </c>
      <c r="E25">
        <v>2023</v>
      </c>
      <c r="F25" t="s">
        <v>85</v>
      </c>
      <c r="G25" t="s">
        <v>17</v>
      </c>
      <c r="H25" t="s">
        <v>10</v>
      </c>
      <c r="I25" t="s">
        <v>9</v>
      </c>
      <c r="J25" t="s">
        <v>84</v>
      </c>
      <c r="K25" s="27">
        <v>42333</v>
      </c>
    </row>
    <row r="26" spans="1:11" x14ac:dyDescent="0.35">
      <c r="A26">
        <v>9781118862414</v>
      </c>
      <c r="B26" t="s">
        <v>176</v>
      </c>
      <c r="C26" t="s">
        <v>83</v>
      </c>
      <c r="D26" t="s">
        <v>50</v>
      </c>
      <c r="E26">
        <v>2018</v>
      </c>
      <c r="F26" t="s">
        <v>82</v>
      </c>
      <c r="G26" t="s">
        <v>11</v>
      </c>
      <c r="H26" t="s">
        <v>44</v>
      </c>
      <c r="I26" t="s">
        <v>43</v>
      </c>
      <c r="J26" t="s">
        <v>23</v>
      </c>
      <c r="K26" s="27">
        <v>42284</v>
      </c>
    </row>
    <row r="27" spans="1:11" x14ac:dyDescent="0.35">
      <c r="A27">
        <v>9781606499764</v>
      </c>
      <c r="B27" t="s">
        <v>81</v>
      </c>
      <c r="C27" t="s">
        <v>80</v>
      </c>
      <c r="D27" t="s">
        <v>18</v>
      </c>
      <c r="E27">
        <v>2019</v>
      </c>
      <c r="F27" t="s">
        <v>79</v>
      </c>
      <c r="G27" t="s">
        <v>17</v>
      </c>
      <c r="H27" t="s">
        <v>44</v>
      </c>
      <c r="I27" t="s">
        <v>43</v>
      </c>
      <c r="J27" t="s">
        <v>15</v>
      </c>
      <c r="K27" s="27">
        <v>42263</v>
      </c>
    </row>
    <row r="28" spans="1:11" x14ac:dyDescent="0.35">
      <c r="A28">
        <v>9781606499764</v>
      </c>
      <c r="B28" t="s">
        <v>81</v>
      </c>
      <c r="C28" t="s">
        <v>80</v>
      </c>
      <c r="D28" t="s">
        <v>18</v>
      </c>
      <c r="E28">
        <v>2017</v>
      </c>
      <c r="F28" t="s">
        <v>79</v>
      </c>
      <c r="G28" t="s">
        <v>17</v>
      </c>
      <c r="H28" t="s">
        <v>44</v>
      </c>
      <c r="I28" t="s">
        <v>43</v>
      </c>
      <c r="J28" t="s">
        <v>15</v>
      </c>
      <c r="K28" s="27">
        <v>42263</v>
      </c>
    </row>
    <row r="29" spans="1:11" x14ac:dyDescent="0.35">
      <c r="A29">
        <v>9780128013908</v>
      </c>
      <c r="B29" t="s">
        <v>175</v>
      </c>
      <c r="C29" t="s">
        <v>78</v>
      </c>
      <c r="D29" t="s">
        <v>77</v>
      </c>
      <c r="E29">
        <v>2020</v>
      </c>
      <c r="F29" t="s">
        <v>76</v>
      </c>
      <c r="G29" t="s">
        <v>11</v>
      </c>
      <c r="H29" t="s">
        <v>10</v>
      </c>
      <c r="J29" t="s">
        <v>75</v>
      </c>
      <c r="K29" s="27">
        <v>42284</v>
      </c>
    </row>
    <row r="30" spans="1:11" x14ac:dyDescent="0.35">
      <c r="A30">
        <v>9781137530196</v>
      </c>
      <c r="B30" t="s">
        <v>74</v>
      </c>
      <c r="C30" t="s">
        <v>73</v>
      </c>
      <c r="D30" t="s">
        <v>12</v>
      </c>
      <c r="E30">
        <v>2021</v>
      </c>
      <c r="F30" t="s">
        <v>72</v>
      </c>
      <c r="G30" t="s">
        <v>11</v>
      </c>
      <c r="H30" t="s">
        <v>32</v>
      </c>
      <c r="I30" t="s">
        <v>31</v>
      </c>
      <c r="J30" t="s">
        <v>71</v>
      </c>
      <c r="K30" s="27">
        <v>42284</v>
      </c>
    </row>
    <row r="31" spans="1:11" x14ac:dyDescent="0.35">
      <c r="A31">
        <v>9780134086798</v>
      </c>
      <c r="B31" t="s">
        <v>70</v>
      </c>
      <c r="C31" t="s">
        <v>69</v>
      </c>
      <c r="D31" t="s">
        <v>68</v>
      </c>
      <c r="E31">
        <v>2019</v>
      </c>
      <c r="F31" t="s">
        <v>67</v>
      </c>
      <c r="G31" t="s">
        <v>11</v>
      </c>
      <c r="H31" t="s">
        <v>44</v>
      </c>
      <c r="I31" t="s">
        <v>43</v>
      </c>
      <c r="J31" t="s">
        <v>66</v>
      </c>
      <c r="K31" s="27">
        <v>42319</v>
      </c>
    </row>
    <row r="32" spans="1:11" x14ac:dyDescent="0.35">
      <c r="A32">
        <v>9781119070481</v>
      </c>
      <c r="B32" t="s">
        <v>174</v>
      </c>
      <c r="C32" t="s">
        <v>65</v>
      </c>
      <c r="D32" t="s">
        <v>50</v>
      </c>
      <c r="E32">
        <v>2020</v>
      </c>
      <c r="F32" t="s">
        <v>64</v>
      </c>
      <c r="G32" t="s">
        <v>17</v>
      </c>
      <c r="H32" t="s">
        <v>44</v>
      </c>
      <c r="I32" t="s">
        <v>43</v>
      </c>
      <c r="J32" t="s">
        <v>63</v>
      </c>
      <c r="K32" s="27">
        <v>42312</v>
      </c>
    </row>
    <row r="33" spans="1:11" x14ac:dyDescent="0.35">
      <c r="A33">
        <v>9781137492395</v>
      </c>
      <c r="B33" t="s">
        <v>62</v>
      </c>
      <c r="C33" t="s">
        <v>61</v>
      </c>
      <c r="D33" t="s">
        <v>12</v>
      </c>
      <c r="E33">
        <v>2016</v>
      </c>
      <c r="F33" t="s">
        <v>60</v>
      </c>
      <c r="G33" t="s">
        <v>11</v>
      </c>
      <c r="H33" t="s">
        <v>10</v>
      </c>
      <c r="I33" t="s">
        <v>9</v>
      </c>
      <c r="J33" t="s">
        <v>7</v>
      </c>
      <c r="K33" s="27">
        <v>42358</v>
      </c>
    </row>
    <row r="34" spans="1:11" x14ac:dyDescent="0.35">
      <c r="A34">
        <v>9781119004387</v>
      </c>
      <c r="B34" t="s">
        <v>59</v>
      </c>
      <c r="C34" t="s">
        <v>58</v>
      </c>
      <c r="D34" t="s">
        <v>50</v>
      </c>
      <c r="E34">
        <v>2020</v>
      </c>
      <c r="F34" t="s">
        <v>57</v>
      </c>
      <c r="G34" t="s">
        <v>11</v>
      </c>
      <c r="H34" t="s">
        <v>10</v>
      </c>
      <c r="I34" t="s">
        <v>43</v>
      </c>
      <c r="J34" t="s">
        <v>56</v>
      </c>
      <c r="K34" s="27">
        <v>42263</v>
      </c>
    </row>
    <row r="35" spans="1:11" x14ac:dyDescent="0.35">
      <c r="A35">
        <v>9789814641555</v>
      </c>
      <c r="B35" t="s">
        <v>55</v>
      </c>
      <c r="C35" t="s">
        <v>54</v>
      </c>
      <c r="D35" t="s">
        <v>53</v>
      </c>
      <c r="E35">
        <v>2020</v>
      </c>
      <c r="F35" t="s">
        <v>52</v>
      </c>
      <c r="G35" t="s">
        <v>11</v>
      </c>
      <c r="H35" t="s">
        <v>10</v>
      </c>
      <c r="I35" t="s">
        <v>9</v>
      </c>
      <c r="J35" t="s">
        <v>51</v>
      </c>
      <c r="K35" s="27">
        <v>42333</v>
      </c>
    </row>
    <row r="36" spans="1:11" x14ac:dyDescent="0.35">
      <c r="A36">
        <v>9781118947708</v>
      </c>
      <c r="B36" t="s">
        <v>173</v>
      </c>
      <c r="C36" t="s">
        <v>200</v>
      </c>
      <c r="D36" t="s">
        <v>50</v>
      </c>
      <c r="E36">
        <v>2020</v>
      </c>
      <c r="F36" t="s">
        <v>49</v>
      </c>
      <c r="G36" t="s">
        <v>11</v>
      </c>
      <c r="H36" t="s">
        <v>10</v>
      </c>
      <c r="I36" t="s">
        <v>9</v>
      </c>
      <c r="J36" t="s">
        <v>48</v>
      </c>
      <c r="K36" s="27">
        <v>42333</v>
      </c>
    </row>
    <row r="37" spans="1:11" x14ac:dyDescent="0.35">
      <c r="A37">
        <v>9780749474263</v>
      </c>
      <c r="B37" t="s">
        <v>47</v>
      </c>
      <c r="C37" t="s">
        <v>46</v>
      </c>
      <c r="D37" t="s">
        <v>45</v>
      </c>
      <c r="E37">
        <v>2022</v>
      </c>
      <c r="F37" t="s">
        <v>42</v>
      </c>
      <c r="G37" t="s">
        <v>17</v>
      </c>
      <c r="H37" t="s">
        <v>44</v>
      </c>
      <c r="I37" t="s">
        <v>43</v>
      </c>
      <c r="J37" t="s">
        <v>41</v>
      </c>
      <c r="K37" s="27">
        <v>42333</v>
      </c>
    </row>
    <row r="38" spans="1:11" x14ac:dyDescent="0.35">
      <c r="A38">
        <v>9781610915878</v>
      </c>
      <c r="B38" t="s">
        <v>40</v>
      </c>
      <c r="C38" t="s">
        <v>39</v>
      </c>
      <c r="D38" t="s">
        <v>38</v>
      </c>
      <c r="E38">
        <v>2022</v>
      </c>
      <c r="F38" t="s">
        <v>37</v>
      </c>
      <c r="G38" t="s">
        <v>11</v>
      </c>
      <c r="H38" t="s">
        <v>10</v>
      </c>
      <c r="I38" t="s">
        <v>9</v>
      </c>
      <c r="J38" t="s">
        <v>36</v>
      </c>
      <c r="K38" s="27">
        <v>42326</v>
      </c>
    </row>
    <row r="39" spans="1:11" x14ac:dyDescent="0.35">
      <c r="A39">
        <v>9781412856904</v>
      </c>
      <c r="B39" t="s">
        <v>35</v>
      </c>
      <c r="C39" t="s">
        <v>34</v>
      </c>
      <c r="D39" t="s">
        <v>33</v>
      </c>
      <c r="E39">
        <v>2018</v>
      </c>
      <c r="F39" t="s">
        <v>30</v>
      </c>
      <c r="G39" t="s">
        <v>11</v>
      </c>
      <c r="H39" t="s">
        <v>32</v>
      </c>
      <c r="I39" t="s">
        <v>31</v>
      </c>
      <c r="J39" t="s">
        <v>29</v>
      </c>
      <c r="K39" s="27">
        <v>42277</v>
      </c>
    </row>
    <row r="40" spans="1:11" x14ac:dyDescent="0.35">
      <c r="A40">
        <v>9789971698362</v>
      </c>
      <c r="B40" t="s">
        <v>28</v>
      </c>
      <c r="C40" t="s">
        <v>27</v>
      </c>
      <c r="D40" t="s">
        <v>26</v>
      </c>
      <c r="E40">
        <v>2016</v>
      </c>
      <c r="F40" t="s">
        <v>25</v>
      </c>
      <c r="G40" t="s">
        <v>17</v>
      </c>
      <c r="H40" t="s">
        <v>10</v>
      </c>
      <c r="I40" t="s">
        <v>9</v>
      </c>
      <c r="J40" t="s">
        <v>24</v>
      </c>
      <c r="K40" s="27">
        <v>42312</v>
      </c>
    </row>
    <row r="41" spans="1:11" x14ac:dyDescent="0.35">
      <c r="A41">
        <v>9781137437846</v>
      </c>
      <c r="B41" t="s">
        <v>22</v>
      </c>
      <c r="C41" t="s">
        <v>21</v>
      </c>
      <c r="D41" t="s">
        <v>12</v>
      </c>
      <c r="E41">
        <v>2019</v>
      </c>
      <c r="F41" t="s">
        <v>20</v>
      </c>
      <c r="G41" t="s">
        <v>11</v>
      </c>
      <c r="H41" t="s">
        <v>10</v>
      </c>
      <c r="I41" t="s">
        <v>9</v>
      </c>
      <c r="J41" t="s">
        <v>7</v>
      </c>
      <c r="K41" s="27">
        <v>42326</v>
      </c>
    </row>
    <row r="42" spans="1:11" x14ac:dyDescent="0.35">
      <c r="A42">
        <v>9781631572302</v>
      </c>
      <c r="B42" t="s">
        <v>172</v>
      </c>
      <c r="C42" t="s">
        <v>19</v>
      </c>
      <c r="D42" t="s">
        <v>18</v>
      </c>
      <c r="E42">
        <v>2020</v>
      </c>
      <c r="F42" t="s">
        <v>16</v>
      </c>
      <c r="G42" t="s">
        <v>17</v>
      </c>
      <c r="H42" t="s">
        <v>10</v>
      </c>
      <c r="I42" t="s">
        <v>9</v>
      </c>
      <c r="J42" t="s">
        <v>15</v>
      </c>
      <c r="K42" s="27">
        <v>42319</v>
      </c>
    </row>
    <row r="43" spans="1:11" x14ac:dyDescent="0.35">
      <c r="A43">
        <v>9781137547354</v>
      </c>
      <c r="B43" t="s">
        <v>14</v>
      </c>
      <c r="C43" t="s">
        <v>13</v>
      </c>
      <c r="D43" t="s">
        <v>12</v>
      </c>
      <c r="E43">
        <v>2018</v>
      </c>
      <c r="F43" t="s">
        <v>8</v>
      </c>
      <c r="G43" t="s">
        <v>11</v>
      </c>
      <c r="H43" t="s">
        <v>10</v>
      </c>
      <c r="I43" t="s">
        <v>9</v>
      </c>
      <c r="J43" t="s">
        <v>7</v>
      </c>
      <c r="K43" s="27">
        <v>42319</v>
      </c>
    </row>
  </sheetData>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3" tint="0.79998168889431442"/>
  </sheetPr>
  <dimension ref="B1:L45"/>
  <sheetViews>
    <sheetView workbookViewId="0">
      <pane ySplit="2" topLeftCell="A3" activePane="bottomLeft" state="frozen"/>
      <selection activeCell="F7" sqref="F7"/>
      <selection pane="bottomLeft" activeCell="F7" sqref="F7"/>
    </sheetView>
  </sheetViews>
  <sheetFormatPr defaultColWidth="9.08984375" defaultRowHeight="14.5" x14ac:dyDescent="0.35"/>
  <cols>
    <col min="1" max="1" width="1.90625" style="30" customWidth="1"/>
    <col min="2" max="2" width="14" style="38" customWidth="1"/>
    <col min="3" max="3" width="65" style="30" customWidth="1"/>
    <col min="4" max="4" width="27.36328125" style="30" customWidth="1"/>
    <col min="5" max="5" width="19.36328125" style="30" customWidth="1"/>
    <col min="6" max="6" width="5.90625" style="30" customWidth="1"/>
    <col min="7" max="7" width="21" style="30" customWidth="1"/>
    <col min="8" max="8" width="9.08984375" style="30"/>
    <col min="9" max="9" width="11.36328125" style="30" customWidth="1"/>
    <col min="10" max="10" width="24.6328125" style="30" customWidth="1"/>
    <col min="11" max="11" width="11.08984375" style="39" customWidth="1"/>
    <col min="12" max="12" width="11.6328125" style="30" customWidth="1"/>
    <col min="13" max="16384" width="9.08984375" style="30"/>
  </cols>
  <sheetData>
    <row r="1" spans="2:12" ht="10.5" customHeight="1" thickBot="1" x14ac:dyDescent="0.4"/>
    <row r="2" spans="2:12" s="28" customFormat="1" ht="31.5" thickTop="1" x14ac:dyDescent="0.35">
      <c r="B2" s="35" t="s">
        <v>171</v>
      </c>
      <c r="C2" s="33" t="s">
        <v>0</v>
      </c>
      <c r="D2" s="33" t="s">
        <v>1</v>
      </c>
      <c r="E2" s="33" t="s">
        <v>2</v>
      </c>
      <c r="F2" s="33" t="s">
        <v>188</v>
      </c>
      <c r="G2" s="33" t="s">
        <v>189</v>
      </c>
      <c r="H2" s="33" t="s">
        <v>170</v>
      </c>
      <c r="I2" s="33" t="s">
        <v>190</v>
      </c>
      <c r="J2" s="33" t="s">
        <v>191</v>
      </c>
      <c r="K2" s="40" t="s">
        <v>192</v>
      </c>
      <c r="L2" s="34" t="s">
        <v>193</v>
      </c>
    </row>
    <row r="3" spans="2:12" ht="29" x14ac:dyDescent="0.35">
      <c r="B3" s="36">
        <v>9783319222332</v>
      </c>
      <c r="C3" s="23" t="s">
        <v>98</v>
      </c>
      <c r="D3" s="23" t="s">
        <v>97</v>
      </c>
      <c r="E3" s="23" t="s">
        <v>96</v>
      </c>
      <c r="F3" s="23">
        <v>2021</v>
      </c>
      <c r="G3" s="23" t="s">
        <v>95</v>
      </c>
      <c r="H3" s="23" t="s">
        <v>17</v>
      </c>
      <c r="I3" s="23" t="s">
        <v>10</v>
      </c>
      <c r="J3" s="23" t="s">
        <v>9</v>
      </c>
      <c r="K3" s="41">
        <v>54.99</v>
      </c>
      <c r="L3" s="29">
        <v>42291</v>
      </c>
    </row>
    <row r="4" spans="2:12" ht="29" x14ac:dyDescent="0.35">
      <c r="B4" s="36">
        <v>9781681232683</v>
      </c>
      <c r="C4" s="23" t="s">
        <v>127</v>
      </c>
      <c r="D4" s="23" t="s">
        <v>126</v>
      </c>
      <c r="E4" s="23" t="s">
        <v>125</v>
      </c>
      <c r="F4" s="23">
        <v>2019</v>
      </c>
      <c r="G4" s="23" t="s">
        <v>124</v>
      </c>
      <c r="H4" s="23" t="s">
        <v>17</v>
      </c>
      <c r="I4" s="23" t="s">
        <v>10</v>
      </c>
      <c r="J4" s="23" t="s">
        <v>9</v>
      </c>
      <c r="K4" s="41">
        <v>45.99</v>
      </c>
      <c r="L4" s="29">
        <v>42326</v>
      </c>
    </row>
    <row r="5" spans="2:12" x14ac:dyDescent="0.35">
      <c r="B5" s="36">
        <v>9781138803329</v>
      </c>
      <c r="C5" s="23" t="s">
        <v>140</v>
      </c>
      <c r="D5" s="23" t="s">
        <v>197</v>
      </c>
      <c r="E5" s="23" t="s">
        <v>101</v>
      </c>
      <c r="F5" s="23">
        <v>2018</v>
      </c>
      <c r="G5" s="23" t="s">
        <v>139</v>
      </c>
      <c r="H5" s="23" t="s">
        <v>17</v>
      </c>
      <c r="I5" s="23" t="s">
        <v>10</v>
      </c>
      <c r="J5" s="23" t="s">
        <v>43</v>
      </c>
      <c r="K5" s="41">
        <v>59.95</v>
      </c>
      <c r="L5" s="29">
        <v>42284</v>
      </c>
    </row>
    <row r="6" spans="2:12" ht="29" x14ac:dyDescent="0.35">
      <c r="B6" s="36">
        <v>9781631572302</v>
      </c>
      <c r="C6" s="23" t="s">
        <v>172</v>
      </c>
      <c r="D6" s="23" t="s">
        <v>19</v>
      </c>
      <c r="E6" s="23" t="s">
        <v>18</v>
      </c>
      <c r="F6" s="23">
        <v>2020</v>
      </c>
      <c r="G6" s="23" t="s">
        <v>16</v>
      </c>
      <c r="H6" s="23" t="s">
        <v>17</v>
      </c>
      <c r="I6" s="23" t="s">
        <v>10</v>
      </c>
      <c r="J6" s="23" t="s">
        <v>9</v>
      </c>
      <c r="K6" s="41">
        <v>59.95</v>
      </c>
      <c r="L6" s="29">
        <v>42319</v>
      </c>
    </row>
    <row r="7" spans="2:12" ht="29" x14ac:dyDescent="0.35">
      <c r="B7" s="36">
        <v>9781137492395</v>
      </c>
      <c r="C7" s="23" t="s">
        <v>62</v>
      </c>
      <c r="D7" s="23" t="s">
        <v>61</v>
      </c>
      <c r="E7" s="23" t="s">
        <v>12</v>
      </c>
      <c r="F7" s="23">
        <v>2016</v>
      </c>
      <c r="G7" s="23" t="s">
        <v>60</v>
      </c>
      <c r="H7" s="23" t="s">
        <v>11</v>
      </c>
      <c r="I7" s="23" t="s">
        <v>10</v>
      </c>
      <c r="J7" s="23" t="s">
        <v>9</v>
      </c>
      <c r="K7" s="41">
        <v>67.5</v>
      </c>
      <c r="L7" s="29">
        <v>42358</v>
      </c>
    </row>
    <row r="8" spans="2:12" ht="29" x14ac:dyDescent="0.35">
      <c r="B8" s="36">
        <v>9781440834189</v>
      </c>
      <c r="C8" s="23" t="s">
        <v>169</v>
      </c>
      <c r="D8" s="23" t="s">
        <v>168</v>
      </c>
      <c r="E8" s="23" t="s">
        <v>167</v>
      </c>
      <c r="F8" s="23">
        <v>2023</v>
      </c>
      <c r="G8" s="23" t="s">
        <v>166</v>
      </c>
      <c r="H8" s="23" t="s">
        <v>11</v>
      </c>
      <c r="I8" s="23" t="s">
        <v>10</v>
      </c>
      <c r="J8" s="23" t="s">
        <v>9</v>
      </c>
      <c r="K8" s="41">
        <v>37</v>
      </c>
      <c r="L8" s="29">
        <v>42298</v>
      </c>
    </row>
    <row r="9" spans="2:12" ht="43.5" x14ac:dyDescent="0.35">
      <c r="B9" s="36">
        <v>9780128013908</v>
      </c>
      <c r="C9" s="23" t="s">
        <v>175</v>
      </c>
      <c r="D9" s="23" t="s">
        <v>78</v>
      </c>
      <c r="E9" s="23" t="s">
        <v>77</v>
      </c>
      <c r="F9" s="23">
        <v>2020</v>
      </c>
      <c r="G9" s="23" t="s">
        <v>76</v>
      </c>
      <c r="H9" s="23" t="s">
        <v>11</v>
      </c>
      <c r="I9" s="23" t="s">
        <v>10</v>
      </c>
      <c r="J9" s="23"/>
      <c r="K9" s="41">
        <v>99.95</v>
      </c>
      <c r="L9" s="29">
        <v>42284</v>
      </c>
    </row>
    <row r="10" spans="2:12" x14ac:dyDescent="0.35">
      <c r="B10" s="36">
        <v>9781412856904</v>
      </c>
      <c r="C10" s="23" t="s">
        <v>35</v>
      </c>
      <c r="D10" s="23" t="s">
        <v>34</v>
      </c>
      <c r="E10" s="23" t="s">
        <v>33</v>
      </c>
      <c r="F10" s="23">
        <v>2018</v>
      </c>
      <c r="G10" s="23" t="s">
        <v>30</v>
      </c>
      <c r="H10" s="23" t="s">
        <v>11</v>
      </c>
      <c r="I10" s="23" t="s">
        <v>32</v>
      </c>
      <c r="J10" s="23" t="s">
        <v>31</v>
      </c>
      <c r="K10" s="41">
        <v>69.95</v>
      </c>
      <c r="L10" s="29">
        <v>42277</v>
      </c>
    </row>
    <row r="11" spans="2:12" ht="29" x14ac:dyDescent="0.35">
      <c r="B11" s="36">
        <v>9780134086798</v>
      </c>
      <c r="C11" s="23" t="s">
        <v>70</v>
      </c>
      <c r="D11" s="23" t="s">
        <v>69</v>
      </c>
      <c r="E11" s="23" t="s">
        <v>68</v>
      </c>
      <c r="F11" s="23">
        <v>2019</v>
      </c>
      <c r="G11" s="23" t="s">
        <v>67</v>
      </c>
      <c r="H11" s="23" t="s">
        <v>11</v>
      </c>
      <c r="I11" s="23" t="s">
        <v>44</v>
      </c>
      <c r="J11" s="23" t="s">
        <v>43</v>
      </c>
      <c r="K11" s="41">
        <v>34.99</v>
      </c>
      <c r="L11" s="29">
        <v>42319</v>
      </c>
    </row>
    <row r="12" spans="2:12" ht="29" x14ac:dyDescent="0.35">
      <c r="B12" s="36">
        <v>9781610915878</v>
      </c>
      <c r="C12" s="23" t="s">
        <v>40</v>
      </c>
      <c r="D12" s="23" t="s">
        <v>39</v>
      </c>
      <c r="E12" s="23" t="s">
        <v>38</v>
      </c>
      <c r="F12" s="23">
        <v>2022</v>
      </c>
      <c r="G12" s="23" t="s">
        <v>37</v>
      </c>
      <c r="H12" s="23" t="s">
        <v>11</v>
      </c>
      <c r="I12" s="23" t="s">
        <v>10</v>
      </c>
      <c r="J12" s="23" t="s">
        <v>9</v>
      </c>
      <c r="K12" s="41">
        <v>32</v>
      </c>
      <c r="L12" s="29">
        <v>42326</v>
      </c>
    </row>
    <row r="13" spans="2:12" ht="29" x14ac:dyDescent="0.35">
      <c r="B13" s="36">
        <v>9789971698362</v>
      </c>
      <c r="C13" s="23" t="s">
        <v>28</v>
      </c>
      <c r="D13" s="23" t="s">
        <v>27</v>
      </c>
      <c r="E13" s="23" t="s">
        <v>26</v>
      </c>
      <c r="F13" s="23">
        <v>2016</v>
      </c>
      <c r="G13" s="23" t="s">
        <v>25</v>
      </c>
      <c r="H13" s="23" t="s">
        <v>17</v>
      </c>
      <c r="I13" s="23" t="s">
        <v>10</v>
      </c>
      <c r="J13" s="23" t="s">
        <v>9</v>
      </c>
      <c r="K13" s="41">
        <v>36</v>
      </c>
      <c r="L13" s="29">
        <v>42312</v>
      </c>
    </row>
    <row r="14" spans="2:12" ht="29" x14ac:dyDescent="0.35">
      <c r="B14" s="36">
        <v>9781137526786</v>
      </c>
      <c r="C14" s="23" t="s">
        <v>130</v>
      </c>
      <c r="D14" s="23" t="s">
        <v>129</v>
      </c>
      <c r="E14" s="23" t="s">
        <v>12</v>
      </c>
      <c r="F14" s="23">
        <v>2018</v>
      </c>
      <c r="G14" s="23" t="s">
        <v>128</v>
      </c>
      <c r="H14" s="23" t="s">
        <v>11</v>
      </c>
      <c r="I14" s="23" t="s">
        <v>44</v>
      </c>
      <c r="J14" s="23" t="s">
        <v>43</v>
      </c>
      <c r="K14" s="41">
        <v>30</v>
      </c>
      <c r="L14" s="29">
        <v>42319</v>
      </c>
    </row>
    <row r="15" spans="2:12" ht="29" x14ac:dyDescent="0.35">
      <c r="B15" s="36">
        <v>9780749474591</v>
      </c>
      <c r="C15" s="23" t="s">
        <v>106</v>
      </c>
      <c r="D15" s="23" t="s">
        <v>105</v>
      </c>
      <c r="E15" s="23" t="s">
        <v>45</v>
      </c>
      <c r="F15" s="23">
        <v>2019</v>
      </c>
      <c r="G15" s="23" t="s">
        <v>104</v>
      </c>
      <c r="H15" s="23" t="s">
        <v>17</v>
      </c>
      <c r="I15" s="23" t="s">
        <v>44</v>
      </c>
      <c r="J15" s="23" t="s">
        <v>43</v>
      </c>
      <c r="K15" s="41">
        <v>39.950000000000003</v>
      </c>
      <c r="L15" s="29">
        <v>42298</v>
      </c>
    </row>
    <row r="16" spans="2:12" ht="29" x14ac:dyDescent="0.35">
      <c r="B16" s="36">
        <v>9781631571305</v>
      </c>
      <c r="C16" s="23" t="s">
        <v>117</v>
      </c>
      <c r="D16" s="23" t="s">
        <v>116</v>
      </c>
      <c r="E16" s="23" t="s">
        <v>18</v>
      </c>
      <c r="F16" s="23">
        <v>2022</v>
      </c>
      <c r="G16" s="23" t="s">
        <v>115</v>
      </c>
      <c r="H16" s="23" t="s">
        <v>17</v>
      </c>
      <c r="I16" s="23" t="s">
        <v>44</v>
      </c>
      <c r="J16" s="23" t="s">
        <v>43</v>
      </c>
      <c r="K16" s="41">
        <v>59.95</v>
      </c>
      <c r="L16" s="29">
        <v>42284</v>
      </c>
    </row>
    <row r="17" spans="2:12" ht="29" x14ac:dyDescent="0.35">
      <c r="B17" s="36">
        <v>9781606496466</v>
      </c>
      <c r="C17" s="23" t="s">
        <v>143</v>
      </c>
      <c r="D17" s="23" t="s">
        <v>142</v>
      </c>
      <c r="E17" s="23" t="s">
        <v>18</v>
      </c>
      <c r="F17" s="23">
        <v>2023</v>
      </c>
      <c r="G17" s="23" t="s">
        <v>141</v>
      </c>
      <c r="H17" s="23" t="s">
        <v>17</v>
      </c>
      <c r="I17" s="23" t="s">
        <v>10</v>
      </c>
      <c r="J17" s="23" t="s">
        <v>9</v>
      </c>
      <c r="K17" s="41">
        <v>59.95</v>
      </c>
      <c r="L17" s="29">
        <v>42277</v>
      </c>
    </row>
    <row r="18" spans="2:12" ht="29" x14ac:dyDescent="0.35">
      <c r="B18" s="36">
        <v>9789814641555</v>
      </c>
      <c r="C18" s="23" t="s">
        <v>55</v>
      </c>
      <c r="D18" s="23" t="s">
        <v>54</v>
      </c>
      <c r="E18" s="23" t="s">
        <v>53</v>
      </c>
      <c r="F18" s="23">
        <v>2020</v>
      </c>
      <c r="G18" s="23" t="s">
        <v>52</v>
      </c>
      <c r="H18" s="23" t="s">
        <v>11</v>
      </c>
      <c r="I18" s="23" t="s">
        <v>10</v>
      </c>
      <c r="J18" s="23" t="s">
        <v>9</v>
      </c>
      <c r="K18" s="41">
        <v>54</v>
      </c>
      <c r="L18" s="29">
        <v>42333</v>
      </c>
    </row>
    <row r="19" spans="2:12" x14ac:dyDescent="0.35">
      <c r="B19" s="36">
        <v>9781482251784</v>
      </c>
      <c r="C19" s="23" t="s">
        <v>154</v>
      </c>
      <c r="D19" s="23" t="s">
        <v>153</v>
      </c>
      <c r="E19" s="23" t="s">
        <v>152</v>
      </c>
      <c r="F19" s="23">
        <v>2020</v>
      </c>
      <c r="G19" s="23" t="s">
        <v>151</v>
      </c>
      <c r="H19" s="23" t="s">
        <v>11</v>
      </c>
      <c r="I19" s="23" t="s">
        <v>44</v>
      </c>
      <c r="J19" s="23" t="s">
        <v>43</v>
      </c>
      <c r="K19" s="41">
        <v>79.95</v>
      </c>
      <c r="L19" s="29">
        <v>42277</v>
      </c>
    </row>
    <row r="20" spans="2:12" ht="29" x14ac:dyDescent="0.35">
      <c r="B20" s="36">
        <v>9781137530196</v>
      </c>
      <c r="C20" s="23" t="s">
        <v>74</v>
      </c>
      <c r="D20" s="23" t="s">
        <v>73</v>
      </c>
      <c r="E20" s="23" t="s">
        <v>12</v>
      </c>
      <c r="F20" s="23">
        <v>2021</v>
      </c>
      <c r="G20" s="23" t="s">
        <v>72</v>
      </c>
      <c r="H20" s="23" t="s">
        <v>11</v>
      </c>
      <c r="I20" s="23" t="s">
        <v>32</v>
      </c>
      <c r="J20" s="23" t="s">
        <v>31</v>
      </c>
      <c r="K20" s="41">
        <v>30</v>
      </c>
      <c r="L20" s="29">
        <v>42284</v>
      </c>
    </row>
    <row r="21" spans="2:12" ht="29" x14ac:dyDescent="0.35">
      <c r="B21" s="36">
        <v>9781623967208</v>
      </c>
      <c r="C21" s="23" t="s">
        <v>164</v>
      </c>
      <c r="D21" s="23" t="s">
        <v>194</v>
      </c>
      <c r="E21" s="23" t="s">
        <v>125</v>
      </c>
      <c r="F21" s="23">
        <v>2020</v>
      </c>
      <c r="G21" s="23" t="s">
        <v>163</v>
      </c>
      <c r="H21" s="23" t="s">
        <v>17</v>
      </c>
      <c r="I21" s="23" t="s">
        <v>10</v>
      </c>
      <c r="J21" s="23" t="s">
        <v>9</v>
      </c>
      <c r="K21" s="41">
        <v>45.99</v>
      </c>
      <c r="L21" s="29">
        <v>42270</v>
      </c>
    </row>
    <row r="22" spans="2:12" x14ac:dyDescent="0.35">
      <c r="B22" s="36">
        <v>9781138013728</v>
      </c>
      <c r="C22" s="23" t="s">
        <v>149</v>
      </c>
      <c r="D22" s="23" t="s">
        <v>196</v>
      </c>
      <c r="E22" s="23" t="s">
        <v>101</v>
      </c>
      <c r="F22" s="23">
        <v>2021</v>
      </c>
      <c r="G22" s="23" t="s">
        <v>148</v>
      </c>
      <c r="H22" s="23" t="s">
        <v>17</v>
      </c>
      <c r="I22" s="23" t="s">
        <v>10</v>
      </c>
      <c r="J22" s="23" t="s">
        <v>9</v>
      </c>
      <c r="K22" s="41">
        <v>59.95</v>
      </c>
      <c r="L22" s="29">
        <v>42333</v>
      </c>
    </row>
    <row r="23" spans="2:12" ht="29" x14ac:dyDescent="0.35">
      <c r="B23" s="36">
        <v>9781785603495</v>
      </c>
      <c r="C23" s="23" t="s">
        <v>93</v>
      </c>
      <c r="D23" s="23" t="s">
        <v>199</v>
      </c>
      <c r="E23" s="23" t="s">
        <v>92</v>
      </c>
      <c r="F23" s="23">
        <v>2016</v>
      </c>
      <c r="G23" s="23" t="s">
        <v>91</v>
      </c>
      <c r="H23" s="23" t="s">
        <v>17</v>
      </c>
      <c r="I23" s="23" t="s">
        <v>10</v>
      </c>
      <c r="J23" s="23" t="s">
        <v>9</v>
      </c>
      <c r="K23" s="41">
        <v>40</v>
      </c>
      <c r="L23" s="29">
        <v>42263</v>
      </c>
    </row>
    <row r="24" spans="2:12" ht="29" x14ac:dyDescent="0.35">
      <c r="B24" s="36">
        <v>9780134072951</v>
      </c>
      <c r="C24" s="23" t="s">
        <v>162</v>
      </c>
      <c r="D24" s="23" t="s">
        <v>195</v>
      </c>
      <c r="E24" s="23" t="s">
        <v>68</v>
      </c>
      <c r="F24" s="23">
        <v>2016</v>
      </c>
      <c r="G24" s="23" t="s">
        <v>161</v>
      </c>
      <c r="H24" s="23" t="s">
        <v>11</v>
      </c>
      <c r="I24" s="23" t="s">
        <v>10</v>
      </c>
      <c r="J24" s="23" t="s">
        <v>9</v>
      </c>
      <c r="K24" s="41">
        <v>79.989999999999995</v>
      </c>
      <c r="L24" s="29">
        <v>42291</v>
      </c>
    </row>
    <row r="25" spans="2:12" ht="29" x14ac:dyDescent="0.35">
      <c r="B25" s="36">
        <v>9780749474263</v>
      </c>
      <c r="C25" s="23" t="s">
        <v>47</v>
      </c>
      <c r="D25" s="23" t="s">
        <v>46</v>
      </c>
      <c r="E25" s="23" t="s">
        <v>45</v>
      </c>
      <c r="F25" s="23">
        <v>2022</v>
      </c>
      <c r="G25" s="23" t="s">
        <v>42</v>
      </c>
      <c r="H25" s="23" t="s">
        <v>17</v>
      </c>
      <c r="I25" s="23" t="s">
        <v>44</v>
      </c>
      <c r="J25" s="23" t="s">
        <v>43</v>
      </c>
      <c r="K25" s="41">
        <v>49.95</v>
      </c>
      <c r="L25" s="29">
        <v>42333</v>
      </c>
    </row>
    <row r="26" spans="2:12" x14ac:dyDescent="0.35">
      <c r="B26" s="36">
        <v>9781138016316</v>
      </c>
      <c r="C26" s="23" t="s">
        <v>103</v>
      </c>
      <c r="D26" s="23" t="s">
        <v>102</v>
      </c>
      <c r="E26" s="23" t="s">
        <v>101</v>
      </c>
      <c r="F26" s="23">
        <v>2018</v>
      </c>
      <c r="G26" s="23" t="s">
        <v>100</v>
      </c>
      <c r="H26" s="23" t="s">
        <v>17</v>
      </c>
      <c r="I26" s="23" t="s">
        <v>10</v>
      </c>
      <c r="J26" s="23" t="s">
        <v>43</v>
      </c>
      <c r="K26" s="41">
        <v>39.950000000000003</v>
      </c>
      <c r="L26" s="29">
        <v>42326</v>
      </c>
    </row>
    <row r="27" spans="2:12" ht="29" x14ac:dyDescent="0.35">
      <c r="B27" s="36">
        <v>9781137437846</v>
      </c>
      <c r="C27" s="23" t="s">
        <v>22</v>
      </c>
      <c r="D27" s="23" t="s">
        <v>21</v>
      </c>
      <c r="E27" s="23" t="s">
        <v>12</v>
      </c>
      <c r="F27" s="23">
        <v>2019</v>
      </c>
      <c r="G27" s="23" t="s">
        <v>20</v>
      </c>
      <c r="H27" s="23" t="s">
        <v>11</v>
      </c>
      <c r="I27" s="23" t="s">
        <v>10</v>
      </c>
      <c r="J27" s="23" t="s">
        <v>9</v>
      </c>
      <c r="K27" s="41">
        <v>67.5</v>
      </c>
      <c r="L27" s="29">
        <v>42326</v>
      </c>
    </row>
    <row r="28" spans="2:12" ht="43.5" x14ac:dyDescent="0.35">
      <c r="B28" s="36">
        <v>9781119004387</v>
      </c>
      <c r="C28" s="23" t="s">
        <v>59</v>
      </c>
      <c r="D28" s="23" t="s">
        <v>58</v>
      </c>
      <c r="E28" s="23" t="s">
        <v>50</v>
      </c>
      <c r="F28" s="23">
        <v>2020</v>
      </c>
      <c r="G28" s="23" t="s">
        <v>57</v>
      </c>
      <c r="H28" s="23" t="s">
        <v>11</v>
      </c>
      <c r="I28" s="23" t="s">
        <v>10</v>
      </c>
      <c r="J28" s="23" t="s">
        <v>43</v>
      </c>
      <c r="K28" s="41">
        <v>60</v>
      </c>
      <c r="L28" s="29">
        <v>42263</v>
      </c>
    </row>
    <row r="29" spans="2:12" ht="29" x14ac:dyDescent="0.35">
      <c r="B29" s="36">
        <v>9781606499764</v>
      </c>
      <c r="C29" s="23" t="s">
        <v>81</v>
      </c>
      <c r="D29" s="23" t="s">
        <v>80</v>
      </c>
      <c r="E29" s="23" t="s">
        <v>18</v>
      </c>
      <c r="F29" s="23">
        <v>2019</v>
      </c>
      <c r="G29" s="23" t="s">
        <v>79</v>
      </c>
      <c r="H29" s="23" t="s">
        <v>17</v>
      </c>
      <c r="I29" s="23" t="s">
        <v>44</v>
      </c>
      <c r="J29" s="23" t="s">
        <v>43</v>
      </c>
      <c r="K29" s="41">
        <v>59.95</v>
      </c>
      <c r="L29" s="29">
        <v>42263</v>
      </c>
    </row>
    <row r="30" spans="2:12" ht="29" x14ac:dyDescent="0.35">
      <c r="B30" s="36">
        <v>9781606499764</v>
      </c>
      <c r="C30" s="23" t="s">
        <v>81</v>
      </c>
      <c r="D30" s="23" t="s">
        <v>80</v>
      </c>
      <c r="E30" s="23" t="s">
        <v>18</v>
      </c>
      <c r="F30" s="23">
        <v>2017</v>
      </c>
      <c r="G30" s="23" t="s">
        <v>79</v>
      </c>
      <c r="H30" s="23" t="s">
        <v>17</v>
      </c>
      <c r="I30" s="23" t="s">
        <v>44</v>
      </c>
      <c r="J30" s="23" t="s">
        <v>43</v>
      </c>
      <c r="K30" s="41">
        <v>59.95</v>
      </c>
      <c r="L30" s="29">
        <v>42263</v>
      </c>
    </row>
    <row r="31" spans="2:12" ht="29" x14ac:dyDescent="0.35">
      <c r="B31" s="36">
        <v>9781634829595</v>
      </c>
      <c r="C31" s="23" t="s">
        <v>138</v>
      </c>
      <c r="D31" s="23" t="s">
        <v>198</v>
      </c>
      <c r="E31" s="23" t="s">
        <v>137</v>
      </c>
      <c r="F31" s="23">
        <v>2023</v>
      </c>
      <c r="G31" s="23" t="s">
        <v>136</v>
      </c>
      <c r="H31" s="23" t="s">
        <v>17</v>
      </c>
      <c r="I31" s="23" t="s">
        <v>10</v>
      </c>
      <c r="J31" s="23" t="s">
        <v>43</v>
      </c>
      <c r="K31" s="41">
        <v>82</v>
      </c>
      <c r="L31" s="29">
        <v>42277</v>
      </c>
    </row>
    <row r="32" spans="2:12" x14ac:dyDescent="0.35">
      <c r="B32" s="36">
        <v>9780415673419</v>
      </c>
      <c r="C32" s="23" t="s">
        <v>114</v>
      </c>
      <c r="D32" s="23" t="s">
        <v>113</v>
      </c>
      <c r="E32" s="23" t="s">
        <v>101</v>
      </c>
      <c r="F32" s="23">
        <v>2020</v>
      </c>
      <c r="G32" s="23" t="s">
        <v>112</v>
      </c>
      <c r="H32" s="23" t="s">
        <v>17</v>
      </c>
      <c r="I32" s="23" t="s">
        <v>32</v>
      </c>
      <c r="J32" s="23" t="s">
        <v>31</v>
      </c>
      <c r="K32" s="41">
        <v>44.95</v>
      </c>
      <c r="L32" s="29">
        <v>42312</v>
      </c>
    </row>
    <row r="33" spans="2:12" ht="29" x14ac:dyDescent="0.35">
      <c r="B33" s="36">
        <v>9781430263524</v>
      </c>
      <c r="C33" s="23" t="s">
        <v>147</v>
      </c>
      <c r="D33" s="23" t="s">
        <v>146</v>
      </c>
      <c r="E33" s="23" t="s">
        <v>145</v>
      </c>
      <c r="F33" s="23">
        <v>2020</v>
      </c>
      <c r="G33" s="23" t="s">
        <v>144</v>
      </c>
      <c r="H33" s="23" t="s">
        <v>17</v>
      </c>
      <c r="I33" s="23" t="s">
        <v>44</v>
      </c>
      <c r="J33" s="23" t="s">
        <v>43</v>
      </c>
      <c r="K33" s="41">
        <v>34.99</v>
      </c>
      <c r="L33" s="29">
        <v>42263</v>
      </c>
    </row>
    <row r="34" spans="2:12" ht="43.5" x14ac:dyDescent="0.35">
      <c r="B34" s="36">
        <v>9781119070481</v>
      </c>
      <c r="C34" s="23" t="s">
        <v>174</v>
      </c>
      <c r="D34" s="23" t="s">
        <v>65</v>
      </c>
      <c r="E34" s="23" t="s">
        <v>50</v>
      </c>
      <c r="F34" s="23">
        <v>2020</v>
      </c>
      <c r="G34" s="23" t="s">
        <v>64</v>
      </c>
      <c r="H34" s="23" t="s">
        <v>17</v>
      </c>
      <c r="I34" s="23" t="s">
        <v>44</v>
      </c>
      <c r="J34" s="23" t="s">
        <v>43</v>
      </c>
      <c r="K34" s="41">
        <v>24</v>
      </c>
      <c r="L34" s="29">
        <v>42312</v>
      </c>
    </row>
    <row r="35" spans="2:12" ht="29" x14ac:dyDescent="0.35">
      <c r="B35" s="36">
        <v>9780134387048</v>
      </c>
      <c r="C35" s="23" t="s">
        <v>110</v>
      </c>
      <c r="D35" s="23" t="s">
        <v>109</v>
      </c>
      <c r="E35" s="23" t="s">
        <v>68</v>
      </c>
      <c r="F35" s="23">
        <v>2019</v>
      </c>
      <c r="G35" s="23" t="s">
        <v>108</v>
      </c>
      <c r="H35" s="23" t="s">
        <v>11</v>
      </c>
      <c r="I35" s="23" t="s">
        <v>44</v>
      </c>
      <c r="J35" s="23" t="s">
        <v>43</v>
      </c>
      <c r="K35" s="41">
        <v>46.99</v>
      </c>
      <c r="L35" s="29">
        <v>42305</v>
      </c>
    </row>
    <row r="36" spans="2:12" x14ac:dyDescent="0.35">
      <c r="B36" s="36">
        <v>9781433122033</v>
      </c>
      <c r="C36" s="23" t="s">
        <v>122</v>
      </c>
      <c r="D36" s="23" t="s">
        <v>121</v>
      </c>
      <c r="E36" s="23" t="s">
        <v>120</v>
      </c>
      <c r="F36" s="23">
        <v>2021</v>
      </c>
      <c r="G36" s="23" t="s">
        <v>119</v>
      </c>
      <c r="H36" s="23" t="s">
        <v>17</v>
      </c>
      <c r="I36" s="23" t="s">
        <v>10</v>
      </c>
      <c r="J36" s="23" t="s">
        <v>9</v>
      </c>
      <c r="K36" s="41">
        <v>40.950000000000003</v>
      </c>
      <c r="L36" s="29">
        <v>42263</v>
      </c>
    </row>
    <row r="37" spans="2:12" ht="29" x14ac:dyDescent="0.35">
      <c r="B37" s="36">
        <v>9781118725641</v>
      </c>
      <c r="C37" s="23" t="s">
        <v>159</v>
      </c>
      <c r="D37" s="23" t="s">
        <v>158</v>
      </c>
      <c r="E37" s="23" t="s">
        <v>157</v>
      </c>
      <c r="F37" s="23">
        <v>2022</v>
      </c>
      <c r="G37" s="23" t="s">
        <v>156</v>
      </c>
      <c r="H37" s="23" t="s">
        <v>11</v>
      </c>
      <c r="I37" s="23" t="s">
        <v>44</v>
      </c>
      <c r="J37" s="23" t="s">
        <v>43</v>
      </c>
      <c r="K37" s="41">
        <v>26.95</v>
      </c>
      <c r="L37" s="29">
        <v>42277</v>
      </c>
    </row>
    <row r="38" spans="2:12" ht="29" x14ac:dyDescent="0.35">
      <c r="B38" s="36">
        <v>9781137547354</v>
      </c>
      <c r="C38" s="23" t="s">
        <v>14</v>
      </c>
      <c r="D38" s="23" t="s">
        <v>13</v>
      </c>
      <c r="E38" s="23" t="s">
        <v>12</v>
      </c>
      <c r="F38" s="23">
        <v>2018</v>
      </c>
      <c r="G38" s="23" t="s">
        <v>8</v>
      </c>
      <c r="H38" s="23" t="s">
        <v>11</v>
      </c>
      <c r="I38" s="23" t="s">
        <v>10</v>
      </c>
      <c r="J38" s="23" t="s">
        <v>9</v>
      </c>
      <c r="K38" s="41">
        <v>67.5</v>
      </c>
      <c r="L38" s="29">
        <v>42319</v>
      </c>
    </row>
    <row r="39" spans="2:12" ht="29" x14ac:dyDescent="0.35">
      <c r="B39" s="36">
        <v>9781118862414</v>
      </c>
      <c r="C39" s="23" t="s">
        <v>176</v>
      </c>
      <c r="D39" s="23" t="s">
        <v>83</v>
      </c>
      <c r="E39" s="23" t="s">
        <v>50</v>
      </c>
      <c r="F39" s="23">
        <v>2018</v>
      </c>
      <c r="G39" s="23" t="s">
        <v>82</v>
      </c>
      <c r="H39" s="23" t="s">
        <v>11</v>
      </c>
      <c r="I39" s="23" t="s">
        <v>44</v>
      </c>
      <c r="J39" s="23" t="s">
        <v>43</v>
      </c>
      <c r="K39" s="41">
        <v>29.95</v>
      </c>
      <c r="L39" s="29">
        <v>42284</v>
      </c>
    </row>
    <row r="40" spans="2:12" ht="29" x14ac:dyDescent="0.35">
      <c r="B40" s="36">
        <v>9781118995396</v>
      </c>
      <c r="C40" s="23" t="s">
        <v>134</v>
      </c>
      <c r="D40" s="23" t="s">
        <v>133</v>
      </c>
      <c r="E40" s="23" t="s">
        <v>50</v>
      </c>
      <c r="F40" s="23">
        <v>2020</v>
      </c>
      <c r="G40" s="23" t="s">
        <v>132</v>
      </c>
      <c r="H40" s="23" t="s">
        <v>11</v>
      </c>
      <c r="I40" s="23" t="s">
        <v>44</v>
      </c>
      <c r="J40" s="23" t="s">
        <v>43</v>
      </c>
      <c r="K40" s="41">
        <v>35</v>
      </c>
      <c r="L40" s="29">
        <v>42263</v>
      </c>
    </row>
    <row r="41" spans="2:12" ht="29" x14ac:dyDescent="0.35">
      <c r="B41" s="36">
        <v>9781118947708</v>
      </c>
      <c r="C41" s="23" t="s">
        <v>173</v>
      </c>
      <c r="D41" s="23" t="s">
        <v>200</v>
      </c>
      <c r="E41" s="23" t="s">
        <v>50</v>
      </c>
      <c r="F41" s="23">
        <v>2020</v>
      </c>
      <c r="G41" s="23" t="s">
        <v>49</v>
      </c>
      <c r="H41" s="23" t="s">
        <v>11</v>
      </c>
      <c r="I41" s="23" t="s">
        <v>10</v>
      </c>
      <c r="J41" s="23" t="s">
        <v>9</v>
      </c>
      <c r="K41" s="41">
        <v>95</v>
      </c>
      <c r="L41" s="29">
        <v>42333</v>
      </c>
    </row>
    <row r="42" spans="2:12" ht="29" x14ac:dyDescent="0.35">
      <c r="B42" s="36">
        <v>9781631572388</v>
      </c>
      <c r="C42" s="23" t="s">
        <v>89</v>
      </c>
      <c r="D42" s="23" t="s">
        <v>88</v>
      </c>
      <c r="E42" s="23" t="s">
        <v>18</v>
      </c>
      <c r="F42" s="23">
        <v>2016</v>
      </c>
      <c r="G42" s="23" t="s">
        <v>87</v>
      </c>
      <c r="H42" s="23" t="s">
        <v>17</v>
      </c>
      <c r="I42" s="23" t="s">
        <v>10</v>
      </c>
      <c r="J42" s="23" t="s">
        <v>9</v>
      </c>
      <c r="K42" s="41">
        <v>59.95</v>
      </c>
      <c r="L42" s="29">
        <v>42277</v>
      </c>
    </row>
    <row r="43" spans="2:12" ht="29" x14ac:dyDescent="0.35">
      <c r="B43" s="36">
        <v>9781631572388</v>
      </c>
      <c r="C43" s="23" t="s">
        <v>89</v>
      </c>
      <c r="D43" s="23" t="s">
        <v>88</v>
      </c>
      <c r="E43" s="23" t="s">
        <v>18</v>
      </c>
      <c r="F43" s="23">
        <v>2017</v>
      </c>
      <c r="G43" s="23" t="s">
        <v>87</v>
      </c>
      <c r="H43" s="23" t="s">
        <v>17</v>
      </c>
      <c r="I43" s="23" t="s">
        <v>10</v>
      </c>
      <c r="J43" s="23" t="s">
        <v>9</v>
      </c>
      <c r="K43" s="41">
        <v>59.95</v>
      </c>
      <c r="L43" s="29">
        <v>42277</v>
      </c>
    </row>
    <row r="44" spans="2:12" ht="29.5" thickBot="1" x14ac:dyDescent="0.4">
      <c r="B44" s="37">
        <v>9788763003254</v>
      </c>
      <c r="C44" s="31" t="s">
        <v>177</v>
      </c>
      <c r="D44" s="31"/>
      <c r="E44" s="31" t="s">
        <v>86</v>
      </c>
      <c r="F44" s="31">
        <v>2023</v>
      </c>
      <c r="G44" s="31" t="s">
        <v>85</v>
      </c>
      <c r="H44" s="31" t="s">
        <v>17</v>
      </c>
      <c r="I44" s="31" t="s">
        <v>10</v>
      </c>
      <c r="J44" s="31" t="s">
        <v>9</v>
      </c>
      <c r="K44" s="42">
        <v>70</v>
      </c>
      <c r="L44" s="32">
        <v>42333</v>
      </c>
    </row>
    <row r="45" spans="2:12" ht="15" thickTop="1" x14ac:dyDescent="0.35"/>
  </sheetData>
  <sortState xmlns:xlrd2="http://schemas.microsoft.com/office/spreadsheetml/2017/richdata2" ref="B3:L44">
    <sortCondition ref="D3:D44"/>
    <sortCondition ref="C3:C44"/>
  </sortState>
  <conditionalFormatting sqref="B3:L44">
    <cfRule type="expression" dxfId="2" priority="4">
      <formula>MOD(ROW(),3)=0</formula>
    </cfRule>
  </conditionalFormatting>
  <conditionalFormatting sqref="D3:D44">
    <cfRule type="containsText" dxfId="1" priority="3" operator="containsText" text="Editor">
      <formula>NOT(ISERROR(SEARCH("Editor",D3)))</formula>
    </cfRule>
  </conditionalFormatting>
  <conditionalFormatting sqref="F3:F44">
    <cfRule type="cellIs" dxfId="0" priority="1" operator="greaterThan">
      <formula>2020</formula>
    </cfRule>
  </conditionalFormatting>
  <conditionalFormatting sqref="K3:K44">
    <cfRule type="dataBar" priority="2">
      <dataBar>
        <cfvo type="min"/>
        <cfvo type="max"/>
        <color rgb="FF63C384"/>
      </dataBar>
      <extLst>
        <ext xmlns:x14="http://schemas.microsoft.com/office/spreadsheetml/2009/9/main" uri="{B025F937-C7B1-47D3-B67F-A62EFF666E3E}">
          <x14:id>{9BC6B234-A0B8-44E1-85C8-028A6B6477A9}</x14:id>
        </ext>
      </extLst>
    </cfRule>
  </conditionalFormatting>
  <pageMargins left="0.7" right="0.7" top="0.75" bottom="0.75" header="0.3" footer="0.3"/>
  <pageSetup orientation="portrait" r:id="rId1"/>
  <extLst>
    <ext xmlns:x14="http://schemas.microsoft.com/office/spreadsheetml/2009/9/main" uri="{78C0D931-6437-407d-A8EE-F0AAD7539E65}">
      <x14:conditionalFormattings>
        <x14:conditionalFormatting xmlns:xm="http://schemas.microsoft.com/office/excel/2006/main">
          <x14:cfRule type="dataBar" id="{9BC6B234-A0B8-44E1-85C8-028A6B6477A9}">
            <x14:dataBar minLength="0" maxLength="100" border="1" negativeBarBorderColorSameAsPositive="0">
              <x14:cfvo type="autoMin"/>
              <x14:cfvo type="autoMax"/>
              <x14:borderColor rgb="FF63C384"/>
              <x14:negativeFillColor rgb="FFFF0000"/>
              <x14:negativeBorderColor rgb="FFFF0000"/>
              <x14:axisColor rgb="FF000000"/>
            </x14:dataBar>
          </x14:cfRule>
          <xm:sqref>K3:K44</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36</vt:i4>
      </vt:variant>
    </vt:vector>
  </HeadingPairs>
  <TitlesOfParts>
    <vt:vector size="42" baseType="lpstr">
      <vt:lpstr>About</vt:lpstr>
      <vt:lpstr>Useful Features</vt:lpstr>
      <vt:lpstr>Bonus Formulas</vt:lpstr>
      <vt:lpstr>Instructions</vt:lpstr>
      <vt:lpstr>Exercise</vt:lpstr>
      <vt:lpstr>Example Result</vt:lpstr>
      <vt:lpstr>Ajouter_une_bordure_à_une_cellule</vt:lpstr>
      <vt:lpstr>Aligner_le_texte_d_une_cellule_verticalement_ou_horizontalement</vt:lpstr>
      <vt:lpstr>Anatomy_of_a_Formula</vt:lpstr>
      <vt:lpstr>Copier_le_format_d_une_cellule__une_ligne__ou_une_colonne</vt:lpstr>
      <vt:lpstr>Copying__Pasting__and_Dragging_Formulas</vt:lpstr>
      <vt:lpstr>Direction_du_texte</vt:lpstr>
      <vt:lpstr>Figer_les_volets</vt:lpstr>
      <vt:lpstr>Filtrage_de_données</vt:lpstr>
      <vt:lpstr>Filtre_avancé</vt:lpstr>
      <vt:lpstr>Filtre_régulier</vt:lpstr>
      <vt:lpstr>Format_de_la_cellule</vt:lpstr>
      <vt:lpstr>Fusionner_des_cellules</vt:lpstr>
      <vt:lpstr>Imprimer</vt:lpstr>
      <vt:lpstr>Insérer_et_supprimer_des_lignes_ou_colonnes</vt:lpstr>
      <vt:lpstr>Inserting_Formulas_in_a_worksheet</vt:lpstr>
      <vt:lpstr>Masquer_et_afficher_des_lignes_ou_colonnes</vt:lpstr>
      <vt:lpstr>Menu</vt:lpstr>
      <vt:lpstr>Miow</vt:lpstr>
      <vt:lpstr>Mise_en_forme_conditionnelle</vt:lpstr>
      <vt:lpstr>Mise_en_forme_de_cellules</vt:lpstr>
      <vt:lpstr>Modifier_la_couleur_d_une_cellule</vt:lpstr>
      <vt:lpstr>Names_in_Formulas</vt:lpstr>
      <vt:lpstr>Navigation</vt:lpstr>
      <vt:lpstr>Navigation_et_sélection</vt:lpstr>
      <vt:lpstr>Open_Workook</vt:lpstr>
      <vt:lpstr>Instructions!Print_Area</vt:lpstr>
      <vt:lpstr>'Useful Features'!Print_Area</vt:lpstr>
      <vt:lpstr>Relative_and_Absolute_Cell_Addresses_in_Formulas</vt:lpstr>
      <vt:lpstr>Renvoyer_à_la_ligne_automatiquement</vt:lpstr>
      <vt:lpstr>Sélection</vt:lpstr>
      <vt:lpstr>Styles_de_cellules_et_de_feuilles</vt:lpstr>
      <vt:lpstr>TopMenu</vt:lpstr>
      <vt:lpstr>Tri_de_données</vt:lpstr>
      <vt:lpstr>Viewing_and_Finding_Formulas</vt:lpstr>
      <vt:lpstr>What_is_a_Formula?</vt:lpstr>
      <vt:lpstr>Working_with_Formulas</vt:lpstr>
    </vt:vector>
  </TitlesOfParts>
  <Company>Université de Moncton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Julie Marcoux</dc:creator>
  <cp:lastModifiedBy>Julie Marcoux</cp:lastModifiedBy>
  <cp:lastPrinted>2024-04-23T11:42:10Z</cp:lastPrinted>
  <dcterms:created xsi:type="dcterms:W3CDTF">2012-06-13T13:48:35Z</dcterms:created>
  <dcterms:modified xsi:type="dcterms:W3CDTF">2024-04-23T12:25:25Z</dcterms:modified>
</cp:coreProperties>
</file>